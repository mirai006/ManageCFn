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ayano2\Desktop\"/>
    </mc:Choice>
  </mc:AlternateContent>
  <xr:revisionPtr revIDLastSave="0" documentId="13_ncr:1_{9ECF0F5C-82E3-46BD-A222-22B0D07A3F34}" xr6:coauthVersionLast="45" xr6:coauthVersionMax="45" xr10:uidLastSave="{00000000-0000-0000-0000-000000000000}"/>
  <bookViews>
    <workbookView xWindow="-120" yWindow="-120" windowWidth="29040" windowHeight="15840" tabRatio="733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VPC" sheetId="947" r:id="rId5"/>
    <sheet name="InternetGateway" sheetId="948" r:id="rId6"/>
    <sheet name="VPCGatewayAttachment" sheetId="949" r:id="rId7"/>
    <sheet name="Subnet" sheetId="952" r:id="rId8"/>
    <sheet name="RouteTable" sheetId="953" r:id="rId9"/>
    <sheet name="Route" sheetId="954" r:id="rId10"/>
    <sheet name="SubnetRouteTableAssociation" sheetId="955" r:id="rId11"/>
    <sheet name="NetworkAcl" sheetId="957" r:id="rId12"/>
    <sheet name="NetworkAclEntry" sheetId="958" r:id="rId13"/>
    <sheet name="SubnetNetworkAclAssociation" sheetId="959" r:id="rId14"/>
    <sheet name="PrefixList" sheetId="961" r:id="rId15"/>
    <sheet name="SecurityGroup" sheetId="956" r:id="rId16"/>
    <sheet name="SecurityGroupEgress" sheetId="962" r:id="rId17"/>
    <sheet name="SecurityGroupIngress" sheetId="963" r:id="rId18"/>
    <sheet name="Instance" sheetId="96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0" i="963" l="1"/>
  <c r="Z10" i="963"/>
  <c r="Y10" i="963"/>
  <c r="X10" i="963"/>
  <c r="W10" i="963"/>
  <c r="V10" i="963"/>
  <c r="Y12" i="958" l="1"/>
  <c r="X12" i="958"/>
  <c r="W12" i="958"/>
  <c r="V12" i="958"/>
  <c r="Y2" i="958"/>
  <c r="W2" i="958"/>
  <c r="AA13" i="963" l="1"/>
  <c r="Z13" i="963"/>
  <c r="Y13" i="963"/>
  <c r="X13" i="963"/>
  <c r="W13" i="963"/>
  <c r="V13" i="963"/>
  <c r="AA2" i="963"/>
  <c r="Z2" i="963"/>
  <c r="Y2" i="963"/>
  <c r="X2" i="963"/>
  <c r="W2" i="963"/>
  <c r="V12" i="962"/>
  <c r="V51" i="956"/>
  <c r="B17" i="963"/>
  <c r="B16" i="963"/>
  <c r="B15" i="963"/>
  <c r="B14" i="963"/>
  <c r="B13" i="963"/>
  <c r="B12" i="963"/>
  <c r="B11" i="963"/>
  <c r="B10" i="963"/>
  <c r="B9" i="963"/>
  <c r="B8" i="963"/>
  <c r="B7" i="963"/>
  <c r="B6" i="963"/>
  <c r="B5" i="963"/>
  <c r="B4" i="963"/>
  <c r="B3" i="963"/>
  <c r="V2" i="963"/>
  <c r="B14" i="962"/>
  <c r="B13" i="962"/>
  <c r="B12" i="962"/>
  <c r="B11" i="962"/>
  <c r="B10" i="962"/>
  <c r="B9" i="962"/>
  <c r="B8" i="962"/>
  <c r="B7" i="962"/>
  <c r="B6" i="962"/>
  <c r="B5" i="962"/>
  <c r="B4" i="962"/>
  <c r="B3" i="962"/>
  <c r="V2" i="962"/>
  <c r="AA6" i="959" l="1"/>
  <c r="Z6" i="959"/>
  <c r="Y6" i="959"/>
  <c r="X6" i="959"/>
  <c r="W6" i="959"/>
  <c r="V6" i="959"/>
  <c r="W7" i="959"/>
  <c r="X7" i="959"/>
  <c r="Y7" i="959"/>
  <c r="Z7" i="959"/>
  <c r="AA7" i="959"/>
  <c r="V7" i="959"/>
  <c r="AA2" i="959"/>
  <c r="Z2" i="959"/>
  <c r="Y2" i="959"/>
  <c r="X2" i="959"/>
  <c r="W2" i="959"/>
  <c r="X2" i="958"/>
  <c r="W11" i="957"/>
  <c r="V11" i="957"/>
  <c r="W2" i="957"/>
  <c r="B22" i="961" l="1"/>
  <c r="B21" i="961"/>
  <c r="B20" i="961"/>
  <c r="B19" i="961"/>
  <c r="Y11" i="953" l="1"/>
  <c r="X11" i="953"/>
  <c r="W11" i="953"/>
  <c r="V11" i="953"/>
  <c r="AA7" i="955" l="1"/>
  <c r="Z7" i="955"/>
  <c r="Y7" i="955"/>
  <c r="X7" i="955"/>
  <c r="W7" i="955"/>
  <c r="V7" i="955"/>
  <c r="AA6" i="955"/>
  <c r="Z6" i="955"/>
  <c r="Y6" i="955"/>
  <c r="X6" i="955"/>
  <c r="W6" i="955"/>
  <c r="V6" i="955"/>
  <c r="AA2" i="955"/>
  <c r="Z2" i="955"/>
  <c r="Y2" i="955"/>
  <c r="X2" i="955"/>
  <c r="W2" i="955"/>
  <c r="V13" i="954"/>
  <c r="V9" i="954"/>
  <c r="Y2" i="953"/>
  <c r="X2" i="953"/>
  <c r="W2" i="953"/>
  <c r="AA16" i="952"/>
  <c r="Z16" i="952"/>
  <c r="Y16" i="952"/>
  <c r="X16" i="952"/>
  <c r="W16" i="952"/>
  <c r="V16" i="952"/>
  <c r="B18" i="961"/>
  <c r="B17" i="961"/>
  <c r="B16" i="961"/>
  <c r="B15" i="961"/>
  <c r="B14" i="961"/>
  <c r="B13" i="961"/>
  <c r="B12" i="961"/>
  <c r="B11" i="961"/>
  <c r="B10" i="961"/>
  <c r="B9" i="961"/>
  <c r="B8" i="961"/>
  <c r="B7" i="961"/>
  <c r="B6" i="961"/>
  <c r="B5" i="961"/>
  <c r="B4" i="961"/>
  <c r="B3" i="961"/>
  <c r="V2" i="961"/>
  <c r="B153" i="960" l="1"/>
  <c r="B152" i="960"/>
  <c r="B151" i="960"/>
  <c r="B150" i="960"/>
  <c r="B149" i="960"/>
  <c r="B148" i="960"/>
  <c r="B147" i="960"/>
  <c r="B146" i="960"/>
  <c r="B145" i="960"/>
  <c r="B144" i="960"/>
  <c r="B143" i="960"/>
  <c r="B142" i="960"/>
  <c r="B141" i="960"/>
  <c r="B140" i="960"/>
  <c r="B139" i="960"/>
  <c r="B138" i="960"/>
  <c r="B137" i="960"/>
  <c r="B136" i="960"/>
  <c r="B135" i="960"/>
  <c r="B134" i="960"/>
  <c r="B133" i="960"/>
  <c r="B132" i="960"/>
  <c r="B131" i="960"/>
  <c r="B130" i="960"/>
  <c r="B129" i="960"/>
  <c r="B128" i="960"/>
  <c r="B127" i="960"/>
  <c r="B126" i="960"/>
  <c r="B125" i="960"/>
  <c r="B124" i="960"/>
  <c r="B123" i="960"/>
  <c r="B122" i="960"/>
  <c r="B121" i="960"/>
  <c r="B120" i="960"/>
  <c r="B119" i="960"/>
  <c r="B118" i="960"/>
  <c r="B117" i="960"/>
  <c r="B116" i="960"/>
  <c r="B115" i="960"/>
  <c r="B114" i="960"/>
  <c r="B113" i="960"/>
  <c r="B112" i="960"/>
  <c r="B111" i="960"/>
  <c r="B110" i="960"/>
  <c r="B109" i="960"/>
  <c r="B108" i="960"/>
  <c r="B107" i="960"/>
  <c r="B106" i="960"/>
  <c r="B105" i="960"/>
  <c r="B104" i="960"/>
  <c r="B103" i="960"/>
  <c r="B102" i="960"/>
  <c r="B101" i="960"/>
  <c r="B100" i="960"/>
  <c r="B99" i="960"/>
  <c r="B98" i="960"/>
  <c r="B97" i="960"/>
  <c r="B96" i="960"/>
  <c r="B95" i="960"/>
  <c r="B94" i="960"/>
  <c r="B93" i="960"/>
  <c r="B92" i="960"/>
  <c r="B91" i="960"/>
  <c r="B90" i="960"/>
  <c r="B89" i="960"/>
  <c r="B88" i="960"/>
  <c r="B87" i="960"/>
  <c r="B86" i="960"/>
  <c r="B85" i="960"/>
  <c r="B84" i="960"/>
  <c r="B83" i="960"/>
  <c r="B82" i="960"/>
  <c r="B81" i="960"/>
  <c r="B80" i="960"/>
  <c r="B79" i="960"/>
  <c r="B78" i="960"/>
  <c r="B77" i="960"/>
  <c r="B76" i="960"/>
  <c r="B75" i="960"/>
  <c r="B74" i="960"/>
  <c r="B73" i="960"/>
  <c r="B72" i="960"/>
  <c r="B71" i="960"/>
  <c r="B70" i="960"/>
  <c r="B69" i="960"/>
  <c r="B68" i="960"/>
  <c r="B67" i="960"/>
  <c r="B66" i="960"/>
  <c r="B65" i="960"/>
  <c r="B64" i="960"/>
  <c r="B63" i="960"/>
  <c r="B62" i="960"/>
  <c r="B61" i="960"/>
  <c r="B60" i="960"/>
  <c r="B59" i="960"/>
  <c r="B58" i="960"/>
  <c r="B57" i="960"/>
  <c r="B56" i="960"/>
  <c r="B55" i="960"/>
  <c r="B54" i="960"/>
  <c r="B53" i="960"/>
  <c r="B52" i="960"/>
  <c r="B51" i="960"/>
  <c r="B50" i="960"/>
  <c r="B49" i="960"/>
  <c r="B48" i="960"/>
  <c r="B47" i="960"/>
  <c r="B46" i="960"/>
  <c r="B45" i="960"/>
  <c r="B44" i="960"/>
  <c r="B43" i="960"/>
  <c r="B42" i="960"/>
  <c r="B41" i="960"/>
  <c r="B40" i="960"/>
  <c r="B39" i="960"/>
  <c r="B38" i="960"/>
  <c r="B37" i="960"/>
  <c r="B36" i="960"/>
  <c r="B35" i="960"/>
  <c r="B34" i="960"/>
  <c r="B33" i="960"/>
  <c r="B32" i="960"/>
  <c r="B31" i="960"/>
  <c r="B30" i="960"/>
  <c r="B29" i="960"/>
  <c r="B28" i="960"/>
  <c r="B27" i="960"/>
  <c r="B26" i="960"/>
  <c r="B25" i="960"/>
  <c r="B24" i="960"/>
  <c r="B23" i="960"/>
  <c r="B22" i="960"/>
  <c r="B21" i="960"/>
  <c r="B20" i="960"/>
  <c r="B19" i="960"/>
  <c r="B18" i="960"/>
  <c r="B17" i="960"/>
  <c r="B16" i="960"/>
  <c r="B15" i="960"/>
  <c r="B14" i="960"/>
  <c r="B13" i="960"/>
  <c r="B12" i="960"/>
  <c r="B11" i="960"/>
  <c r="B10" i="960"/>
  <c r="B9" i="960"/>
  <c r="B8" i="960"/>
  <c r="B7" i="960"/>
  <c r="B6" i="960"/>
  <c r="B5" i="960"/>
  <c r="B4" i="960"/>
  <c r="B3" i="960"/>
  <c r="V2" i="960"/>
  <c r="AA2" i="952" l="1"/>
  <c r="Z2" i="952"/>
  <c r="Y2" i="952"/>
  <c r="X2" i="952"/>
  <c r="W2" i="952"/>
  <c r="V7" i="949"/>
  <c r="V6" i="949"/>
  <c r="V2" i="959"/>
  <c r="B7" i="959"/>
  <c r="B6" i="959"/>
  <c r="B5" i="959"/>
  <c r="B4" i="959"/>
  <c r="B3" i="959"/>
  <c r="V2" i="958"/>
  <c r="B18" i="958"/>
  <c r="B17" i="958"/>
  <c r="B16" i="958"/>
  <c r="B15" i="958"/>
  <c r="B14" i="958"/>
  <c r="B13" i="958"/>
  <c r="B12" i="958"/>
  <c r="B11" i="958"/>
  <c r="B10" i="958"/>
  <c r="B9" i="958"/>
  <c r="B8" i="958"/>
  <c r="B7" i="958"/>
  <c r="B6" i="958"/>
  <c r="B5" i="958"/>
  <c r="B4" i="958"/>
  <c r="B3" i="958"/>
  <c r="V2" i="957"/>
  <c r="B11" i="957"/>
  <c r="B10" i="957"/>
  <c r="B9" i="957"/>
  <c r="B8" i="957"/>
  <c r="B7" i="957"/>
  <c r="B6" i="957"/>
  <c r="B5" i="957"/>
  <c r="B4" i="957"/>
  <c r="B3" i="957"/>
  <c r="V2" i="956"/>
  <c r="B51" i="956"/>
  <c r="B50" i="956"/>
  <c r="B49" i="956"/>
  <c r="B48" i="956"/>
  <c r="B47" i="956"/>
  <c r="B46" i="956"/>
  <c r="B45" i="956"/>
  <c r="B44" i="956"/>
  <c r="B43" i="956"/>
  <c r="B42" i="956"/>
  <c r="B41" i="956"/>
  <c r="B40" i="956"/>
  <c r="B39" i="956"/>
  <c r="B38" i="956"/>
  <c r="B37" i="956"/>
  <c r="B36" i="956"/>
  <c r="B35" i="956"/>
  <c r="B34" i="956"/>
  <c r="B33" i="956"/>
  <c r="B32" i="956"/>
  <c r="B31" i="956"/>
  <c r="B30" i="956"/>
  <c r="B29" i="956"/>
  <c r="B28" i="956"/>
  <c r="B27" i="956"/>
  <c r="B26" i="956"/>
  <c r="B25" i="956"/>
  <c r="B24" i="956"/>
  <c r="B23" i="956"/>
  <c r="B22" i="956"/>
  <c r="B21" i="956"/>
  <c r="B20" i="956"/>
  <c r="B19" i="956"/>
  <c r="B18" i="956"/>
  <c r="B17" i="956"/>
  <c r="B16" i="956"/>
  <c r="B15" i="956"/>
  <c r="B14" i="956"/>
  <c r="B13" i="956"/>
  <c r="B12" i="956"/>
  <c r="B11" i="956"/>
  <c r="B10" i="956"/>
  <c r="B9" i="956"/>
  <c r="B8" i="956"/>
  <c r="B7" i="956"/>
  <c r="B6" i="956"/>
  <c r="B5" i="956"/>
  <c r="B4" i="956"/>
  <c r="B3" i="956"/>
  <c r="V2" i="955"/>
  <c r="B7" i="955"/>
  <c r="B6" i="955"/>
  <c r="B5" i="955"/>
  <c r="B4" i="955"/>
  <c r="B3" i="955"/>
  <c r="V2" i="954"/>
  <c r="B15" i="954"/>
  <c r="B14" i="954"/>
  <c r="B13" i="954"/>
  <c r="B12" i="954"/>
  <c r="B11" i="954"/>
  <c r="B10" i="954"/>
  <c r="B9" i="954"/>
  <c r="B8" i="954"/>
  <c r="B7" i="954"/>
  <c r="B6" i="954"/>
  <c r="B5" i="954"/>
  <c r="B4" i="954"/>
  <c r="B3" i="954"/>
  <c r="V2" i="953"/>
  <c r="B11" i="953"/>
  <c r="B10" i="953"/>
  <c r="B9" i="953"/>
  <c r="B8" i="953"/>
  <c r="B7" i="953"/>
  <c r="B6" i="953"/>
  <c r="B5" i="953"/>
  <c r="B4" i="953"/>
  <c r="B3" i="953"/>
  <c r="V2" i="952"/>
  <c r="B16" i="952"/>
  <c r="B15" i="952"/>
  <c r="B14" i="952"/>
  <c r="B13" i="952"/>
  <c r="B12" i="952"/>
  <c r="B11" i="952"/>
  <c r="B10" i="952"/>
  <c r="B9" i="952"/>
  <c r="B8" i="952"/>
  <c r="B7" i="952"/>
  <c r="B6" i="952"/>
  <c r="B5" i="952"/>
  <c r="B4" i="952"/>
  <c r="B3" i="952"/>
  <c r="V2" i="949"/>
  <c r="B8" i="949"/>
  <c r="B7" i="949"/>
  <c r="B6" i="949"/>
  <c r="B5" i="949"/>
  <c r="B4" i="949"/>
  <c r="B3" i="949"/>
  <c r="V2" i="948"/>
  <c r="B10" i="948"/>
  <c r="B9" i="948"/>
  <c r="B8" i="948"/>
  <c r="B7" i="948"/>
  <c r="B6" i="948"/>
  <c r="B5" i="948"/>
  <c r="B4" i="948"/>
  <c r="B3" i="948"/>
  <c r="V2" i="947"/>
  <c r="B14" i="947"/>
  <c r="B13" i="947"/>
  <c r="B12" i="947"/>
  <c r="B11" i="947"/>
  <c r="B10" i="947"/>
  <c r="B9" i="947"/>
  <c r="B8" i="947"/>
  <c r="B7" i="947"/>
  <c r="B6" i="947"/>
  <c r="B5" i="947"/>
  <c r="B4" i="947"/>
  <c r="B3" i="947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<sst xmlns="http://schemas.openxmlformats.org/spreadsheetml/2006/main" count="1552" uniqueCount="383">
  <si>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</si>
  <si>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</si>
  <si>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</si>
  <si>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</si>
  <si>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</si>
  <si>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</si>
  <si>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</si>
  <si>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</si>
  <si>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</si>
  <si>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</si>
  <si>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</si>
  <si>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</si>
  <si>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</si>
  <si>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</si>
  <si>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</si>
  <si>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</si>
  <si>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</si>
  <si>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</si>
  <si>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</si>
  <si>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</si>
  <si>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</si>
  <si>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</si>
  <si>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</si>
  <si>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</si>
  <si>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</si>
  <si>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</si>
  <si>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</si>
  <si>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</si>
  <si>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</si>
  <si>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</si>
  <si>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</si>
  <si>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</si>
  <si>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</si>
  <si>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</si>
  <si>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</si>
  <si>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</si>
  <si>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</si>
  <si>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</si>
  <si>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</si>
  <si>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</si>
  <si>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</si>
  <si>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</si>
  <si>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</si>
  <si>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</si>
  <si>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</si>
  <si>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</si>
  <si>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</si>
  <si>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</si>
  <si>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</si>
  <si>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</si>
  <si>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</si>
  <si>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</si>
  <si>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</si>
  <si>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</si>
  <si>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</si>
  <si>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</si>
  <si>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</si>
  <si>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</si>
  <si>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</si>
  <si>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</si>
  <si>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</si>
  <si>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</si>
  <si>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</si>
  <si>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</si>
  <si>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</si>
  <si>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</si>
  <si>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</si>
  <si>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</si>
  <si>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</si>
  <si>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</si>
  <si>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</si>
  <si>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</si>
  <si>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</si>
  <si>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</si>
  <si>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</si>
  <si>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</si>
  <si>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</si>
  <si>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</si>
  <si>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</si>
  <si>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</si>
  <si>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</si>
  <si>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</si>
  <si>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</si>
  <si>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</si>
  <si>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</si>
  <si>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</si>
  <si>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</si>
  <si>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</si>
  <si>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</si>
  <si>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CFn Json Path</t>
    <phoneticPr fontId="1"/>
  </si>
  <si>
    <t>Max_Indent</t>
    <phoneticPr fontId="1"/>
  </si>
  <si>
    <t>DeletionPolicy: Delete</t>
    <phoneticPr fontId="1"/>
  </si>
  <si>
    <t>Resources:</t>
    <phoneticPr fontId="1"/>
  </si>
  <si>
    <t xml:space="preserve">AppSyncGraphQLApiSpecification.json  </t>
  </si>
  <si>
    <t xml:space="preserve">CloudWatchInsightRuleSpecification.json                             </t>
  </si>
  <si>
    <t xml:space="preserve">CodeBuildProjectSpecification.json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</si>
  <si>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</si>
  <si>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</si>
  <si>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</si>
  <si>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</si>
  <si>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</si>
  <si>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</si>
  <si>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</si>
  <si>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</si>
  <si>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</si>
  <si>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</si>
  <si>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</si>
  <si>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</si>
  <si>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</si>
  <si>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</si>
  <si>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</si>
  <si>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</si>
  <si>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</si>
  <si>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</si>
  <si>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ResouceType</t>
    <phoneticPr fontId="1"/>
  </si>
  <si>
    <t>ResouceName</t>
    <phoneticPr fontId="1"/>
  </si>
  <si>
    <t xml:space="preserve">EC2VPCSpecification.json </t>
  </si>
  <si>
    <t>EC2InternetGatewaySpecification.json</t>
  </si>
  <si>
    <t xml:space="preserve">EC2VPCGatewayAttachmentSpecification.json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</si>
  <si>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</si>
  <si>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</si>
  <si>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</si>
  <si>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</si>
  <si>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</si>
  <si>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</si>
  <si>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</si>
  <si>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</si>
  <si>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</si>
  <si>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</si>
  <si>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</si>
  <si>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</si>
  <si>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</si>
  <si>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</si>
  <si>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</si>
  <si>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</si>
  <si>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</si>
  <si>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</si>
  <si>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</si>
  <si>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</si>
  <si>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</si>
  <si>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</si>
  <si>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</si>
  <si>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</si>
  <si>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</si>
  <si>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</si>
  <si>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</si>
  <si>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CFn ResourceSpecificationVersion</t>
    <phoneticPr fontId="1"/>
  </si>
  <si>
    <t>Tag以降で文字列に!Refに置き換えられるパターンがある。</t>
    <rPh sb="3" eb="5">
      <t>イコウ</t>
    </rPh>
    <rPh sb="6" eb="9">
      <t>モジレツ</t>
    </rPh>
    <rPh sb="15" eb="16">
      <t>オ</t>
    </rPh>
    <rPh sb="17" eb="18">
      <t>カ</t>
    </rPh>
    <phoneticPr fontId="1"/>
  </si>
  <si>
    <t>C:\00_Data\11_AWS\CloudFormationResourceSpecification</t>
    <phoneticPr fontId="1"/>
  </si>
  <si>
    <t>18.5.0</t>
    <phoneticPr fontId="1"/>
  </si>
  <si>
    <t>CFn</t>
  </si>
  <si>
    <t>Name:</t>
  </si>
  <si>
    <t>String</t>
  </si>
  <si>
    <t>Resource Name</t>
  </si>
  <si>
    <t>Type: AWS::EC2::VPC</t>
  </si>
  <si>
    <t/>
  </si>
  <si>
    <t>Link</t>
  </si>
  <si>
    <t xml:space="preserve">CidrBlock: </t>
  </si>
  <si>
    <t xml:space="preserve">EnableDnsHostnames: </t>
  </si>
  <si>
    <t>Boolean</t>
  </si>
  <si>
    <t xml:space="preserve">EnableDnsSupport: </t>
  </si>
  <si>
    <t xml:space="preserve">InstanceTenancy: </t>
  </si>
  <si>
    <t xml:space="preserve">- </t>
  </si>
  <si>
    <t xml:space="preserve">Key: </t>
  </si>
  <si>
    <t>No</t>
  </si>
  <si>
    <t>Resources</t>
  </si>
  <si>
    <t>Type</t>
  </si>
  <si>
    <t>Remarks</t>
  </si>
  <si>
    <t>CFi</t>
  </si>
  <si>
    <t xml:space="preserve">InternetGatewayId: </t>
  </si>
  <si>
    <t xml:space="preserve">VpcId: </t>
  </si>
  <si>
    <t xml:space="preserve">VpnGatewayId: </t>
  </si>
  <si>
    <t>Integer</t>
  </si>
  <si>
    <t>Type: AWS::EC2::Subnet</t>
  </si>
  <si>
    <t xml:space="preserve">AssignIpv6AddressOnCreation: </t>
  </si>
  <si>
    <t xml:space="preserve">AvailabilityZone: </t>
  </si>
  <si>
    <t xml:space="preserve">Ipv6CidrBlock: </t>
  </si>
  <si>
    <t xml:space="preserve">MapPublicIpOnLaunch: </t>
  </si>
  <si>
    <t>Type: AWS::EC2::Route</t>
  </si>
  <si>
    <t xml:space="preserve">DestinationCidrBlock: </t>
  </si>
  <si>
    <t xml:space="preserve">DestinationIpv6CidrBlock: </t>
  </si>
  <si>
    <t xml:space="preserve">EgressOnlyInternetGatewayId: </t>
  </si>
  <si>
    <t xml:space="preserve">GatewayId: </t>
  </si>
  <si>
    <t xml:space="preserve">InstanceId: </t>
  </si>
  <si>
    <t xml:space="preserve">NatGatewayId: </t>
  </si>
  <si>
    <t xml:space="preserve">NetworkInterfaceId: </t>
  </si>
  <si>
    <t xml:space="preserve">RouteTableId: </t>
  </si>
  <si>
    <t xml:space="preserve">TransitGatewayId: </t>
  </si>
  <si>
    <t xml:space="preserve">VpcPeeringConnectionId: </t>
  </si>
  <si>
    <t>Type: AWS::EC2::SubnetRouteTableAssociation</t>
  </si>
  <si>
    <t xml:space="preserve">SubnetId: </t>
  </si>
  <si>
    <t>Type: AWS::EC2::SecurityGroup</t>
  </si>
  <si>
    <t xml:space="preserve">GroupDescription: </t>
  </si>
  <si>
    <t xml:space="preserve">GroupName: </t>
  </si>
  <si>
    <t xml:space="preserve">SecurityGroupEgress: </t>
  </si>
  <si>
    <t xml:space="preserve">CidrIp: </t>
  </si>
  <si>
    <t xml:space="preserve">CidrIpv6: </t>
  </si>
  <si>
    <t xml:space="preserve">Description: </t>
  </si>
  <si>
    <t xml:space="preserve">DestinationPrefixListId: </t>
  </si>
  <si>
    <t xml:space="preserve">DestinationSecurityGroupId: </t>
  </si>
  <si>
    <t xml:space="preserve">FromPort: </t>
  </si>
  <si>
    <t xml:space="preserve">IpProtocol: </t>
  </si>
  <si>
    <t xml:space="preserve">ToPort: </t>
  </si>
  <si>
    <t xml:space="preserve">SecurityGroupIngress: </t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</si>
  <si>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</si>
  <si>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</si>
  <si>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</si>
  <si>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</si>
  <si>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Type: AWS::EC2::NetworkAcl</t>
  </si>
  <si>
    <t>Type: AWS::EC2::NetworkAclEntry</t>
  </si>
  <si>
    <t xml:space="preserve">Egress: </t>
  </si>
  <si>
    <t xml:space="preserve">Icmp: </t>
  </si>
  <si>
    <t xml:space="preserve">Code: </t>
  </si>
  <si>
    <t xml:space="preserve">Type: </t>
  </si>
  <si>
    <t xml:space="preserve">NetworkAclId: </t>
  </si>
  <si>
    <t xml:space="preserve">PortRange: </t>
  </si>
  <si>
    <t xml:space="preserve">From: </t>
  </si>
  <si>
    <t xml:space="preserve">To: </t>
  </si>
  <si>
    <t xml:space="preserve">Protocol: </t>
  </si>
  <si>
    <t xml:space="preserve">RuleAction: </t>
  </si>
  <si>
    <t xml:space="preserve">RuleNumber: </t>
  </si>
  <si>
    <t>Type: AWS::EC2::SubnetNetworkAclAssociation</t>
  </si>
  <si>
    <t>10.0.0.0/23</t>
    <phoneticPr fontId="1"/>
  </si>
  <si>
    <t>true</t>
    <phoneticPr fontId="1"/>
  </si>
  <si>
    <t>default</t>
    <phoneticPr fontId="1"/>
  </si>
  <si>
    <t>Type: AWS::EC2::InternetGateway</t>
    <phoneticPr fontId="1"/>
  </si>
  <si>
    <t>mirai-InternetGateway</t>
    <phoneticPr fontId="1"/>
  </si>
  <si>
    <t>Type: AWS::EC2::VPCGatewayAttachment</t>
    <phoneticPr fontId="1"/>
  </si>
  <si>
    <t>VPCGatewayAttachment01</t>
    <phoneticPr fontId="1"/>
  </si>
  <si>
    <t>miari-VPC</t>
    <phoneticPr fontId="1"/>
  </si>
  <si>
    <t xml:space="preserve">AdditionalInfo: </t>
  </si>
  <si>
    <t xml:space="preserve">Affinity: </t>
  </si>
  <si>
    <t xml:space="preserve">DeviceName: 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</si>
  <si>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</si>
  <si>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</si>
  <si>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</si>
  <si>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</si>
  <si>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</si>
  <si>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</si>
  <si>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</si>
  <si>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</si>
  <si>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</si>
  <si>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</si>
  <si>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</si>
  <si>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</si>
  <si>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</si>
  <si>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</si>
  <si>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</si>
  <si>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</si>
  <si>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</si>
  <si>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</si>
  <si>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</si>
  <si>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</si>
  <si>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 xml:space="preserve">InstanceInitiatedShutdownBehavior: </t>
  </si>
  <si>
    <t xml:space="preserve">InstanceType: </t>
  </si>
  <si>
    <t xml:space="preserve">Ipv6AddressCount: </t>
  </si>
  <si>
    <t xml:space="preserve">Ipv6Address: </t>
  </si>
  <si>
    <t xml:space="preserve">KernelId: </t>
  </si>
  <si>
    <t xml:space="preserve">KeyName: </t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</si>
  <si>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</si>
  <si>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</si>
  <si>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</si>
  <si>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</si>
  <si>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</si>
  <si>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</si>
  <si>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</si>
  <si>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</si>
  <si>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</si>
  <si>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</si>
  <si>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</si>
  <si>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</si>
  <si>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</si>
  <si>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</si>
  <si>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</si>
  <si>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 xml:space="preserve">Tenancy: </t>
  </si>
  <si>
    <t xml:space="preserve">UserData: </t>
  </si>
  <si>
    <t xml:space="preserve">Device: </t>
  </si>
  <si>
    <t xml:space="preserve">VolumeId: </t>
  </si>
  <si>
    <t>EC2PrefixListSpecification.json</t>
  </si>
  <si>
    <t>EC2InstanceSpecification.json</t>
  </si>
  <si>
    <t xml:space="preserve">PrefixListName: </t>
  </si>
  <si>
    <t xml:space="preserve">AddressFamily: </t>
  </si>
  <si>
    <t xml:space="preserve">MaxEntries: </t>
  </si>
  <si>
    <t xml:space="preserve">Entries: </t>
  </si>
  <si>
    <t xml:space="preserve">Cidr: </t>
  </si>
  <si>
    <t>ap-northeast-1a</t>
  </si>
  <si>
    <t>ap-northeast-1d</t>
  </si>
  <si>
    <t>ap-northeast-1c</t>
  </si>
  <si>
    <t>10.0.0.0/26</t>
    <phoneticPr fontId="1"/>
  </si>
  <si>
    <t>10.0.0.64/26</t>
    <phoneticPr fontId="1"/>
  </si>
  <si>
    <t>10.0.0.128/26</t>
    <phoneticPr fontId="1"/>
  </si>
  <si>
    <t>10.0.1.0/26</t>
    <phoneticPr fontId="1"/>
  </si>
  <si>
    <t>10.0.1.64/26</t>
    <phoneticPr fontId="1"/>
  </si>
  <si>
    <t>10.0.1.128/26</t>
    <phoneticPr fontId="1"/>
  </si>
  <si>
    <t>Type: AWS::EC2::RouteTable</t>
    <phoneticPr fontId="1"/>
  </si>
  <si>
    <t>mirai-Subnet-Private-1a</t>
  </si>
  <si>
    <t>mirai-Subnet-Private-1a</t>
    <phoneticPr fontId="1"/>
  </si>
  <si>
    <t>mirai-Subnet-Private-1d</t>
  </si>
  <si>
    <t>mirai-Subnet-Private-1d</t>
    <phoneticPr fontId="1"/>
  </si>
  <si>
    <t>mirai-Subnet-Private-1c</t>
  </si>
  <si>
    <t>mirai-Subnet-Private-1c</t>
    <phoneticPr fontId="1"/>
  </si>
  <si>
    <t>mirai-Subnet-Public-1a</t>
  </si>
  <si>
    <t>mirai-Subnet-Public-1a</t>
    <phoneticPr fontId="1"/>
  </si>
  <si>
    <t>mirai-Subnet-Public-1d</t>
  </si>
  <si>
    <t>mirai-Subnet-Public-1d</t>
    <phoneticPr fontId="1"/>
  </si>
  <si>
    <t>mirai-Subnet-Public-1c</t>
  </si>
  <si>
    <t>mirai-Subnet-Public-1c</t>
    <phoneticPr fontId="1"/>
  </si>
  <si>
    <t>mirai-RouteTable-Private-1a</t>
  </si>
  <si>
    <t>mirai-RouteTable-Private-1a</t>
    <phoneticPr fontId="1"/>
  </si>
  <si>
    <t>mirai-RouteTable-Private-1d</t>
  </si>
  <si>
    <t>mirai-RouteTable-Private-1d</t>
    <phoneticPr fontId="1"/>
  </si>
  <si>
    <t>mirai-RouteTable-Private-1c</t>
  </si>
  <si>
    <t>mirai-RouteTable-Private-1c</t>
    <phoneticPr fontId="1"/>
  </si>
  <si>
    <t>mirai-RouteTable-Public</t>
  </si>
  <si>
    <t>mirai-RouteTable-Public</t>
    <phoneticPr fontId="1"/>
  </si>
  <si>
    <t>Route01</t>
    <phoneticPr fontId="1"/>
  </si>
  <si>
    <t>0.0.0.0/0</t>
    <phoneticPr fontId="1"/>
  </si>
  <si>
    <t>SubnetRouteTableAssociation01</t>
    <phoneticPr fontId="1"/>
  </si>
  <si>
    <t>SubnetRouteTableAssociation02</t>
  </si>
  <si>
    <t>SubnetRouteTableAssociation03</t>
  </si>
  <si>
    <t>SubnetRouteTableAssociation04</t>
  </si>
  <si>
    <t>SubnetRouteTableAssociation05</t>
  </si>
  <si>
    <t>SubnetRouteTableAssociation06</t>
  </si>
  <si>
    <t xml:space="preserve"> AWS::EC2::VPC</t>
  </si>
  <si>
    <t>miari-VPC</t>
  </si>
  <si>
    <t xml:space="preserve"> AWS::EC2::InternetGateway</t>
  </si>
  <si>
    <t>mirai-InternetGateway</t>
  </si>
  <si>
    <t xml:space="preserve"> AWS::EC2::Subnet</t>
  </si>
  <si>
    <t xml:space="preserve"> AWS::EC2::RouteTable</t>
  </si>
  <si>
    <t>IPv4</t>
  </si>
  <si>
    <t>Type: AWS::EC2::PrefixList</t>
    <phoneticPr fontId="1"/>
  </si>
  <si>
    <t>mirai-PrefixList-Home</t>
  </si>
  <si>
    <t>mirai-PrefixList-Home</t>
    <phoneticPr fontId="1"/>
  </si>
  <si>
    <t>home</t>
    <phoneticPr fontId="1"/>
  </si>
  <si>
    <t>home router</t>
    <phoneticPr fontId="1"/>
  </si>
  <si>
    <t>219.196.206.40/32</t>
  </si>
  <si>
    <t>39.110.201.243/32</t>
  </si>
  <si>
    <t>202.233.46.58/32</t>
  </si>
  <si>
    <t>122.216.200.130/32</t>
  </si>
  <si>
    <t>113.43.214.178/32</t>
  </si>
  <si>
    <t>mirai-PrefixList-OfficeProxy</t>
  </si>
  <si>
    <t>mirai-PrefixList-OfficeProxy</t>
    <phoneticPr fontId="1"/>
  </si>
  <si>
    <t>office</t>
    <phoneticPr fontId="1"/>
  </si>
  <si>
    <t>office porxy 01</t>
    <phoneticPr fontId="1"/>
  </si>
  <si>
    <t>office porxy 04</t>
    <phoneticPr fontId="1"/>
  </si>
  <si>
    <t>office porxy 03</t>
    <phoneticPr fontId="1"/>
  </si>
  <si>
    <t>office porxy 02</t>
    <phoneticPr fontId="1"/>
  </si>
  <si>
    <t xml:space="preserve"> AWS::EC2::PrefixList</t>
  </si>
  <si>
    <t>mirai-NetworkAcl-Private</t>
  </si>
  <si>
    <t>mirai-NetworkAcl-Private</t>
    <phoneticPr fontId="1"/>
  </si>
  <si>
    <t>mirai-NetworkAcl-Public</t>
  </si>
  <si>
    <t>mirai-NetworkAcl-Public</t>
    <phoneticPr fontId="1"/>
  </si>
  <si>
    <t>false</t>
    <phoneticPr fontId="1"/>
  </si>
  <si>
    <t>SubnetNetworkAclAssociation01</t>
    <phoneticPr fontId="1"/>
  </si>
  <si>
    <t>SubnetNetworkAclAssociation02</t>
  </si>
  <si>
    <t>SubnetNetworkAclAssociation03</t>
  </si>
  <si>
    <t>SubnetNetworkAclAssociation04</t>
  </si>
  <si>
    <t>SubnetNetworkAclAssociation05</t>
  </si>
  <si>
    <t>SubnetNetworkAclAssociation06</t>
  </si>
  <si>
    <t>allow</t>
  </si>
  <si>
    <t>mirai-SecurityGroup-WebServer</t>
  </si>
  <si>
    <t>mirai-SecurityGroup-WebServer</t>
    <phoneticPr fontId="1"/>
  </si>
  <si>
    <t>mirai-SecurityGroup-Webserver</t>
    <phoneticPr fontId="1"/>
  </si>
  <si>
    <t>Type: AWS::EC2::SecurityGroupEgress</t>
  </si>
  <si>
    <t xml:space="preserve">GroupId: </t>
  </si>
  <si>
    <t>Type: AWS::EC2::SecurityGroupIngress</t>
  </si>
  <si>
    <t>127.0.0.1/32</t>
  </si>
  <si>
    <t>SecurityGroupEgress01</t>
    <phoneticPr fontId="1"/>
  </si>
  <si>
    <t>SecurityGroupIngress01</t>
    <phoneticPr fontId="1"/>
  </si>
  <si>
    <t>SecurityGroupIngress02</t>
  </si>
  <si>
    <t>SecurityGroupIngress03</t>
  </si>
  <si>
    <t>SecurityGroupIngress04</t>
  </si>
  <si>
    <t>SecurityGroupIngress05</t>
  </si>
  <si>
    <t>SecurityGroupIngress06</t>
  </si>
  <si>
    <t xml:space="preserve"> AWS::EC2::NetworkAcl</t>
  </si>
  <si>
    <t xml:space="preserve"> AWS::EC2::SecurityGroup</t>
  </si>
  <si>
    <t>TCP</t>
    <phoneticPr fontId="1"/>
  </si>
  <si>
    <t>mirai-NetworkAclEntry-Private-E01</t>
    <phoneticPr fontId="1"/>
  </si>
  <si>
    <t>mirai-NetworkAclEntry-Private-I01</t>
    <phoneticPr fontId="1"/>
  </si>
  <si>
    <t>mirai-NetworkAclEntry-Public-E01</t>
    <phoneticPr fontId="1"/>
  </si>
  <si>
    <t>mirai-NetworkAclEntry-Public-I01</t>
    <phoneticPr fontId="1"/>
  </si>
  <si>
    <t>EC2SecurityGroupIngressSpecification.json</t>
  </si>
  <si>
    <t>EC2SecurityGroupEgressSpecification.json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</si>
</sst>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  <font>
      <u/>
      <sz val="11"/>
      <color theme="1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3" fillId="7" borderId="0" xfId="0" applyFont="1" applyFill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8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4" fillId="0" borderId="0" xfId="0" applyFont="1"/>
    <xf numFmtId="0" fontId="0" fillId="0" borderId="3" xfId="0" applyBorder="1"/>
    <xf numFmtId="0" fontId="0" fillId="0" borderId="4" xfId="0" applyBorder="1"/>
    <xf numFmtId="0" fontId="0" fillId="0" borderId="1" xfId="0" quotePrefix="1" applyBorder="1"/>
    <xf numFmtId="0" fontId="5" fillId="0" borderId="1" xfId="1" applyBorder="1"/>
    <xf numFmtId="0" fontId="0" fillId="9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quotePrefix="1" applyFill="1" applyBorder="1"/>
    <xf numFmtId="0" fontId="5" fillId="3" borderId="1" xfId="1" applyFill="1" applyBorder="1"/>
    <xf numFmtId="0" fontId="0" fillId="3" borderId="1" xfId="0" applyFill="1" applyBorder="1"/>
    <xf numFmtId="0" fontId="0" fillId="2" borderId="3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quotePrefix="1" applyFill="1" applyBorder="1"/>
    <xf numFmtId="0" fontId="5" fillId="4" borderId="1" xfId="1" applyFill="1" applyBorder="1"/>
    <xf numFmtId="0" fontId="0" fillId="4" borderId="1" xfId="0" applyFill="1" applyBorder="1"/>
    <xf numFmtId="0" fontId="0" fillId="10" borderId="3" xfId="0" quotePrefix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" xfId="0" quotePrefix="1" applyFill="1" applyBorder="1"/>
    <xf numFmtId="0" fontId="5" fillId="6" borderId="1" xfId="1" applyFill="1" applyBorder="1"/>
    <xf numFmtId="0" fontId="0" fillId="6" borderId="1" xfId="0" applyFill="1" applyBorder="1"/>
    <xf numFmtId="0" fontId="0" fillId="0" borderId="3" xfId="0" quotePrefix="1" applyBorder="1"/>
    <xf numFmtId="0" fontId="0" fillId="5" borderId="3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1" xfId="0" quotePrefix="1" applyFill="1" applyBorder="1"/>
    <xf numFmtId="0" fontId="5" fillId="9" borderId="1" xfId="1" applyFill="1" applyBorder="1"/>
    <xf numFmtId="0" fontId="0" fillId="9" borderId="1" xfId="0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vpc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vpc.html" TargetMode="External"/><Relationship Id="rId1" Type="http://schemas.openxmlformats.org/officeDocument/2006/relationships/hyperlink" Target="http://docs.aws.amazon.com/AWSCloudFormation/latest/UserGuide/aws-resource-ec2-vpc.html" TargetMode="External"/><Relationship Id="rId6" Type="http://schemas.openxmlformats.org/officeDocument/2006/relationships/hyperlink" Target="http://docs.aws.amazon.com/AWSCloudFormation/latest/UserGuide/aws-resource-ec2-vpc.html" TargetMode="External"/><Relationship Id="rId5" Type="http://schemas.openxmlformats.org/officeDocument/2006/relationships/hyperlink" Target="http://docs.aws.amazon.com/AWSCloudFormation/latest/UserGuide/aws-resource-ec2-vpc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vpc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2" Type="http://schemas.openxmlformats.org/officeDocument/2006/relationships/hyperlink" Target="http://docs.aws.amazon.com/AWSCloudFormation/latest/UserGuide/aws-resource-ec2-internetgateway.html" TargetMode="External"/><Relationship Id="rId1" Type="http://schemas.openxmlformats.org/officeDocument/2006/relationships/hyperlink" Target="http://docs.aws.amazon.com/AWSCloudFormation/latest/UserGuide/aws-resource-ec2-internetgateway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vpc-gateway-attachment.html" TargetMode="External"/><Relationship Id="rId2" Type="http://schemas.openxmlformats.org/officeDocument/2006/relationships/hyperlink" Target="http://docs.aws.amazon.com/AWSCloudFormation/latest/UserGuide/aws-resource-ec2-vpc-gateway-attachment.html" TargetMode="External"/><Relationship Id="rId1" Type="http://schemas.openxmlformats.org/officeDocument/2006/relationships/hyperlink" Target="http://docs.aws.amazon.com/AWSCloudFormation/latest/UserGuide/aws-resource-ec2-vpc-gateway-attachment.html" TargetMode="External"/><Relationship Id="rId4" Type="http://schemas.openxmlformats.org/officeDocument/2006/relationships/hyperlink" Target="http://docs.aws.amazon.com/AWSCloudFormation/latest/UserGuide/aws-resource-ec2-vpc-gateway-attachment.html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3" Type="http://schemas.openxmlformats.org/officeDocument/2006/relationships/hyperlink" Target="http://docs.aws.amazon.com/AWSCloudFormation/latest/UserGuide/aws-resource-ec2-subnet.html" TargetMode="External"/><Relationship Id="rId7" Type="http://schemas.openxmlformats.org/officeDocument/2006/relationships/hyperlink" Target="http://docs.aws.amazon.com/AWSCloudFormation/latest/UserGuide/aws-resource-ec2-subnet.html" TargetMode="External"/><Relationship Id="rId12" Type="http://schemas.openxmlformats.org/officeDocument/2006/relationships/hyperlink" Target="http://docs.aws.amazon.com/AWSCloudFormation/latest/UserGuide/aws-resource-ec2-subnet.html" TargetMode="External"/><Relationship Id="rId2" Type="http://schemas.openxmlformats.org/officeDocument/2006/relationships/hyperlink" Target="http://docs.aws.amazon.com/AWSCloudFormation/latest/UserGuide/aws-resource-ec2-subnet.html" TargetMode="External"/><Relationship Id="rId1" Type="http://schemas.openxmlformats.org/officeDocument/2006/relationships/hyperlink" Target="http://docs.aws.amazon.com/AWSCloudFormation/latest/UserGuide/aws-resource-ec2-subnet.html" TargetMode="External"/><Relationship Id="rId6" Type="http://schemas.openxmlformats.org/officeDocument/2006/relationships/hyperlink" Target="http://docs.aws.amazon.com/AWSCloudFormation/latest/UserGuide/aws-resource-ec2-subnet.html" TargetMode="External"/><Relationship Id="rId11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resource-ec2-subnet.html" TargetMode="External"/><Relationship Id="rId10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resource-ec2-subnet.html" TargetMode="External"/><Relationship Id="rId9" Type="http://schemas.openxmlformats.org/officeDocument/2006/relationships/hyperlink" Target="http://docs.aws.amazon.com/AWSCloudFormation/latest/UserGuide/aws-properties-resource-tags.htm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route-table.html" TargetMode="External"/><Relationship Id="rId2" Type="http://schemas.openxmlformats.org/officeDocument/2006/relationships/hyperlink" Target="http://docs.aws.amazon.com/AWSCloudFormation/latest/UserGuide/aws-resource-ec2-route-table.html" TargetMode="External"/><Relationship Id="rId1" Type="http://schemas.openxmlformats.org/officeDocument/2006/relationships/hyperlink" Target="http://docs.aws.amazon.com/AWSCloudFormation/latest/UserGuide/aws-resource-ec2-route-table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route.html" TargetMode="External"/><Relationship Id="rId3" Type="http://schemas.openxmlformats.org/officeDocument/2006/relationships/hyperlink" Target="http://docs.aws.amazon.com/AWSCloudFormation/latest/UserGuide/aws-resource-ec2-route.html" TargetMode="External"/><Relationship Id="rId7" Type="http://schemas.openxmlformats.org/officeDocument/2006/relationships/hyperlink" Target="http://docs.aws.amazon.com/AWSCloudFormation/latest/UserGuide/aws-resource-ec2-route.html" TargetMode="External"/><Relationship Id="rId2" Type="http://schemas.openxmlformats.org/officeDocument/2006/relationships/hyperlink" Target="http://docs.aws.amazon.com/AWSCloudFormation/latest/UserGuide/aws-resource-ec2-route.html" TargetMode="External"/><Relationship Id="rId1" Type="http://schemas.openxmlformats.org/officeDocument/2006/relationships/hyperlink" Target="http://docs.aws.amazon.com/AWSCloudFormation/latest/UserGuide/aws-resource-ec2-route.html" TargetMode="External"/><Relationship Id="rId6" Type="http://schemas.openxmlformats.org/officeDocument/2006/relationships/hyperlink" Target="http://docs.aws.amazon.com/AWSCloudFormation/latest/UserGuide/aws-resource-ec2-route.html" TargetMode="External"/><Relationship Id="rId11" Type="http://schemas.openxmlformats.org/officeDocument/2006/relationships/hyperlink" Target="http://docs.aws.amazon.com/AWSCloudFormation/latest/UserGuide/aws-resource-ec2-route.html" TargetMode="External"/><Relationship Id="rId5" Type="http://schemas.openxmlformats.org/officeDocument/2006/relationships/hyperlink" Target="http://docs.aws.amazon.com/AWSCloudFormation/latest/UserGuide/aws-resource-ec2-route.html" TargetMode="External"/><Relationship Id="rId10" Type="http://schemas.openxmlformats.org/officeDocument/2006/relationships/hyperlink" Target="http://docs.aws.amazon.com/AWSCloudFormation/latest/UserGuide/aws-resource-ec2-route.html" TargetMode="External"/><Relationship Id="rId4" Type="http://schemas.openxmlformats.org/officeDocument/2006/relationships/hyperlink" Target="http://docs.aws.amazon.com/AWSCloudFormation/latest/UserGuide/aws-resource-ec2-route.html" TargetMode="External"/><Relationship Id="rId9" Type="http://schemas.openxmlformats.org/officeDocument/2006/relationships/hyperlink" Target="http://docs.aws.amazon.com/AWSCloudFormation/latest/UserGuide/aws-resource-ec2-route.htm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route-table-assoc.html" TargetMode="External"/><Relationship Id="rId2" Type="http://schemas.openxmlformats.org/officeDocument/2006/relationships/hyperlink" Target="http://docs.aws.amazon.com/AWSCloudFormation/latest/UserGuide/aws-resource-ec2-subnet-route-table-assoc.html" TargetMode="External"/><Relationship Id="rId1" Type="http://schemas.openxmlformats.org/officeDocument/2006/relationships/hyperlink" Target="http://docs.aws.amazon.com/AWSCloudFormation/latest/UserGuide/aws-resource-ec2-subnet-route-table-assoc.htm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resource-ec2-network-acl.html" TargetMode="External"/><Relationship Id="rId2" Type="http://schemas.openxmlformats.org/officeDocument/2006/relationships/hyperlink" Target="http://docs.aws.amazon.com/AWSCloudFormation/latest/UserGuide/aws-resource-ec2-network-acl.html" TargetMode="External"/><Relationship Id="rId1" Type="http://schemas.openxmlformats.org/officeDocument/2006/relationships/hyperlink" Target="http://docs.aws.amazon.com/AWSCloudFormation/latest/UserGuide/aws-resource-ec2-network-acl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resource-tags.html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network-acl-entry.html" TargetMode="External"/><Relationship Id="rId13" Type="http://schemas.openxmlformats.org/officeDocument/2006/relationships/hyperlink" Target="http://docs.aws.amazon.com/AWSCloudFormation/latest/UserGuide/aws-resource-ec2-network-acl-entry.html" TargetMode="External"/><Relationship Id="rId3" Type="http://schemas.openxmlformats.org/officeDocument/2006/relationships/hyperlink" Target="http://docs.aws.amazon.com/AWSCloudFormation/latest/UserGuide/aws-resource-ec2-network-acl-entry.html" TargetMode="External"/><Relationship Id="rId7" Type="http://schemas.openxmlformats.org/officeDocument/2006/relationships/hyperlink" Target="http://docs.aws.amazon.com/AWSCloudFormation/latest/UserGuide/aws-resource-ec2-network-acl-entry.html" TargetMode="External"/><Relationship Id="rId12" Type="http://schemas.openxmlformats.org/officeDocument/2006/relationships/hyperlink" Target="http://docs.aws.amazon.com/AWSCloudFormation/latest/UserGuide/aws-resource-ec2-network-acl-entry.html" TargetMode="External"/><Relationship Id="rId2" Type="http://schemas.openxmlformats.org/officeDocument/2006/relationships/hyperlink" Target="http://docs.aws.amazon.com/AWSCloudFormation/latest/UserGuide/aws-resource-ec2-network-acl-entry.html" TargetMode="External"/><Relationship Id="rId1" Type="http://schemas.openxmlformats.org/officeDocument/2006/relationships/hyperlink" Target="http://docs.aws.amazon.com/AWSCloudFormation/latest/UserGuide/aws-resource-ec2-network-acl-entry.html" TargetMode="External"/><Relationship Id="rId6" Type="http://schemas.openxmlformats.org/officeDocument/2006/relationships/hyperlink" Target="http://docs.aws.amazon.com/AWSCloudFormation/latest/UserGuide/aws-properties-ec2-networkaclentry-icmp.html" TargetMode="External"/><Relationship Id="rId11" Type="http://schemas.openxmlformats.org/officeDocument/2006/relationships/hyperlink" Target="http://docs.aws.amazon.com/AWSCloudFormation/latest/UserGuide/aws-properties-ec2-networkaclentry-portrange.html" TargetMode="External"/><Relationship Id="rId5" Type="http://schemas.openxmlformats.org/officeDocument/2006/relationships/hyperlink" Target="http://docs.aws.amazon.com/AWSCloudFormation/latest/UserGuide/aws-properties-ec2-networkaclentry-icmp.html" TargetMode="External"/><Relationship Id="rId10" Type="http://schemas.openxmlformats.org/officeDocument/2006/relationships/hyperlink" Target="http://docs.aws.amazon.com/AWSCloudFormation/latest/UserGuide/aws-properties-ec2-networkaclentry-portrange.html" TargetMode="External"/><Relationship Id="rId4" Type="http://schemas.openxmlformats.org/officeDocument/2006/relationships/hyperlink" Target="http://docs.aws.amazon.com/AWSCloudFormation/latest/UserGuide/aws-resource-ec2-network-acl-entry.html" TargetMode="External"/><Relationship Id="rId9" Type="http://schemas.openxmlformats.org/officeDocument/2006/relationships/hyperlink" Target="http://docs.aws.amazon.com/AWSCloudFormation/latest/UserGuide/aws-resource-ec2-network-acl-entry.html" TargetMode="External"/><Relationship Id="rId14" Type="http://schemas.openxmlformats.org/officeDocument/2006/relationships/hyperlink" Target="http://docs.aws.amazon.com/AWSCloudFormation/latest/UserGuide/aws-resource-ec2-network-acl-entry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docs.aws.amazon.com/AWSCloudFormation/latest/UserGuide/aws-resource-ec2-subnet-network-acl-assoc.html" TargetMode="External"/><Relationship Id="rId2" Type="http://schemas.openxmlformats.org/officeDocument/2006/relationships/hyperlink" Target="http://docs.aws.amazon.com/AWSCloudFormation/latest/UserGuide/aws-resource-ec2-subnet-network-acl-assoc.html" TargetMode="External"/><Relationship Id="rId1" Type="http://schemas.openxmlformats.org/officeDocument/2006/relationships/hyperlink" Target="http://docs.aws.amazon.com/AWSCloudFormation/latest/UserGuide/aws-resource-ec2-subnet-network-acl-assoc.html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resource-tags.html" TargetMode="External"/><Relationship Id="rId13" Type="http://schemas.openxmlformats.org/officeDocument/2006/relationships/hyperlink" Target="http://docs.aws.amazon.com/AWSCloudFormation/latest/UserGuide/aws-properties-ec2-prefixlist-entry.html" TargetMode="External"/><Relationship Id="rId18" Type="http://schemas.openxmlformats.org/officeDocument/2006/relationships/hyperlink" Target="http://docs.aws.amazon.com/AWSCloudFormation/latest/UserGuide/aws-properties-ec2-prefixlist-entry.html" TargetMode="External"/><Relationship Id="rId3" Type="http://schemas.openxmlformats.org/officeDocument/2006/relationships/hyperlink" Target="http://docs.aws.amazon.com/AWSCloudFormation/latest/UserGuide/aws-resource-ec2-prefixlist.html" TargetMode="External"/><Relationship Id="rId7" Type="http://schemas.openxmlformats.org/officeDocument/2006/relationships/hyperlink" Target="http://docs.aws.amazon.com/AWSCloudFormation/latest/UserGuide/aws-properties-resource-tags.html" TargetMode="External"/><Relationship Id="rId12" Type="http://schemas.openxmlformats.org/officeDocument/2006/relationships/hyperlink" Target="http://docs.aws.amazon.com/AWSCloudFormation/latest/UserGuide/aws-properties-ec2-prefixlist-entry.html" TargetMode="External"/><Relationship Id="rId17" Type="http://schemas.openxmlformats.org/officeDocument/2006/relationships/hyperlink" Target="http://docs.aws.amazon.com/AWSCloudFormation/latest/UserGuide/aws-properties-ec2-prefixlist-entry.html" TargetMode="External"/><Relationship Id="rId2" Type="http://schemas.openxmlformats.org/officeDocument/2006/relationships/hyperlink" Target="http://docs.aws.amazon.com/AWSCloudFormation/latest/UserGuide/aws-resource-ec2-prefixlist.html" TargetMode="External"/><Relationship Id="rId16" Type="http://schemas.openxmlformats.org/officeDocument/2006/relationships/hyperlink" Target="http://docs.aws.amazon.com/AWSCloudFormation/latest/UserGuide/aws-properties-ec2-prefixlist-entry.html" TargetMode="External"/><Relationship Id="rId1" Type="http://schemas.openxmlformats.org/officeDocument/2006/relationships/hyperlink" Target="http://docs.aws.amazon.com/AWSCloudFormation/latest/UserGuide/aws-resource-ec2-prefixlist.html" TargetMode="External"/><Relationship Id="rId6" Type="http://schemas.openxmlformats.org/officeDocument/2006/relationships/hyperlink" Target="http://docs.aws.amazon.com/AWSCloudFormation/latest/UserGuide/aws-properties-resource-tags.html" TargetMode="External"/><Relationship Id="rId11" Type="http://schemas.openxmlformats.org/officeDocument/2006/relationships/hyperlink" Target="http://docs.aws.amazon.com/AWSCloudFormation/latest/UserGuide/aws-properties-ec2-prefixlist-entry.html" TargetMode="External"/><Relationship Id="rId5" Type="http://schemas.openxmlformats.org/officeDocument/2006/relationships/hyperlink" Target="http://docs.aws.amazon.com/AWSCloudFormation/latest/UserGuide/aws-resource-ec2-prefixlist.html" TargetMode="External"/><Relationship Id="rId15" Type="http://schemas.openxmlformats.org/officeDocument/2006/relationships/hyperlink" Target="http://docs.aws.amazon.com/AWSCloudFormation/latest/UserGuide/aws-properties-ec2-prefixlist-entry.html" TargetMode="External"/><Relationship Id="rId10" Type="http://schemas.openxmlformats.org/officeDocument/2006/relationships/hyperlink" Target="http://docs.aws.amazon.com/AWSCloudFormation/latest/UserGuide/aws-resource-ec2-prefixlist.html" TargetMode="External"/><Relationship Id="rId4" Type="http://schemas.openxmlformats.org/officeDocument/2006/relationships/hyperlink" Target="http://docs.aws.amazon.com/AWSCloudFormation/latest/UserGuide/aws-resource-ec2-prefixlist.html" TargetMode="External"/><Relationship Id="rId9" Type="http://schemas.openxmlformats.org/officeDocument/2006/relationships/hyperlink" Target="http://docs.aws.amazon.com/AWSCloudFormation/latest/UserGuide/aws-properties-resource-tags.html" TargetMode="External"/><Relationship Id="rId14" Type="http://schemas.openxmlformats.org/officeDocument/2006/relationships/hyperlink" Target="http://docs.aws.amazon.com/AWSCloudFormation/latest/UserGuide/aws-properties-ec2-prefixlist-entry.html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://docs.aws.amazon.com/AWSCloudFormation/latest/UserGuide/aws-properties-ec2-security-group-rule.html" TargetMode="External"/><Relationship Id="rId18" Type="http://schemas.openxmlformats.org/officeDocument/2006/relationships/hyperlink" Target="http://docs.aws.amazon.com/AWSCloudFormation/latest/UserGuide/aws-properties-ec2-security-group-rule.html" TargetMode="External"/><Relationship Id="rId26" Type="http://schemas.openxmlformats.org/officeDocument/2006/relationships/hyperlink" Target="http://docs.aws.amazon.com/AWSCloudFormation/latest/UserGuide/aws-properties-ec2-security-group-rule.html" TargetMode="External"/><Relationship Id="rId39" Type="http://schemas.openxmlformats.org/officeDocument/2006/relationships/hyperlink" Target="http://docs.aws.amazon.com/AWSCloudFormation/latest/UserGuide/aws-properties-ec2-security-group-rule.html" TargetMode="External"/><Relationship Id="rId21" Type="http://schemas.openxmlformats.org/officeDocument/2006/relationships/hyperlink" Target="http://docs.aws.amazon.com/AWSCloudFormation/latest/UserGuide/aws-properties-ec2-security-group.html" TargetMode="External"/><Relationship Id="rId34" Type="http://schemas.openxmlformats.org/officeDocument/2006/relationships/hyperlink" Target="http://docs.aws.amazon.com/AWSCloudFormation/latest/UserGuide/aws-properties-ec2-security-group-rule.html" TargetMode="External"/><Relationship Id="rId42" Type="http://schemas.openxmlformats.org/officeDocument/2006/relationships/hyperlink" Target="http://docs.aws.amazon.com/AWSCloudFormation/latest/UserGuide/aws-properties-ec2-security-group.html" TargetMode="External"/><Relationship Id="rId47" Type="http://schemas.openxmlformats.org/officeDocument/2006/relationships/hyperlink" Target="http://docs.aws.amazon.com/AWSCloudFormation/latest/UserGuide/aws-properties-ec2-security-group.html" TargetMode="External"/><Relationship Id="rId7" Type="http://schemas.openxmlformats.org/officeDocument/2006/relationships/hyperlink" Target="http://docs.aws.amazon.com/AWSCloudFormation/latest/UserGuide/aws-properties-ec2-security-group-rule.html" TargetMode="External"/><Relationship Id="rId2" Type="http://schemas.openxmlformats.org/officeDocument/2006/relationships/hyperlink" Target="http://docs.aws.amazon.com/AWSCloudFormation/latest/UserGuide/aws-properties-ec2-security-group.html" TargetMode="External"/><Relationship Id="rId16" Type="http://schemas.openxmlformats.org/officeDocument/2006/relationships/hyperlink" Target="http://docs.aws.amazon.com/AWSCloudFormation/latest/UserGuide/aws-properties-ec2-security-group-rule.html" TargetMode="External"/><Relationship Id="rId29" Type="http://schemas.openxmlformats.org/officeDocument/2006/relationships/hyperlink" Target="http://docs.aws.amazon.com/AWSCloudFormation/latest/UserGuide/aws-properties-ec2-security-group-rule.html" TargetMode="External"/><Relationship Id="rId1" Type="http://schemas.openxmlformats.org/officeDocument/2006/relationships/hyperlink" Target="http://docs.aws.amazon.com/AWSCloudFormation/latest/UserGuide/aws-properties-ec2-security-group.html" TargetMode="External"/><Relationship Id="rId6" Type="http://schemas.openxmlformats.org/officeDocument/2006/relationships/hyperlink" Target="http://docs.aws.amazon.com/AWSCloudFormation/latest/UserGuide/aws-properties-ec2-security-group-rule.html" TargetMode="External"/><Relationship Id="rId11" Type="http://schemas.openxmlformats.org/officeDocument/2006/relationships/hyperlink" Target="http://docs.aws.amazon.com/AWSCloudFormation/latest/UserGuide/aws-properties-ec2-security-group-rule.html" TargetMode="External"/><Relationship Id="rId24" Type="http://schemas.openxmlformats.org/officeDocument/2006/relationships/hyperlink" Target="http://docs.aws.amazon.com/AWSCloudFormation/latest/UserGuide/aws-properties-ec2-security-group-rule.html" TargetMode="External"/><Relationship Id="rId32" Type="http://schemas.openxmlformats.org/officeDocument/2006/relationships/hyperlink" Target="http://docs.aws.amazon.com/AWSCloudFormation/latest/UserGuide/aws-properties-ec2-security-group-rule.html" TargetMode="External"/><Relationship Id="rId37" Type="http://schemas.openxmlformats.org/officeDocument/2006/relationships/hyperlink" Target="http://docs.aws.amazon.com/AWSCloudFormation/latest/UserGuide/aws-properties-ec2-security-group-rule.html" TargetMode="External"/><Relationship Id="rId40" Type="http://schemas.openxmlformats.org/officeDocument/2006/relationships/hyperlink" Target="http://docs.aws.amazon.com/AWSCloudFormation/latest/UserGuide/aws-properties-ec2-security-group-rule.html" TargetMode="External"/><Relationship Id="rId45" Type="http://schemas.openxmlformats.org/officeDocument/2006/relationships/hyperlink" Target="http://docs.aws.amazon.com/AWSCloudFormation/latest/UserGuide/aws-properties-resource-tags.html" TargetMode="External"/><Relationship Id="rId5" Type="http://schemas.openxmlformats.org/officeDocument/2006/relationships/hyperlink" Target="http://docs.aws.amazon.com/AWSCloudFormation/latest/UserGuide/aws-properties-ec2-security-group-rule.html" TargetMode="External"/><Relationship Id="rId15" Type="http://schemas.openxmlformats.org/officeDocument/2006/relationships/hyperlink" Target="http://docs.aws.amazon.com/AWSCloudFormation/latest/UserGuide/aws-properties-ec2-security-group-rule.html" TargetMode="External"/><Relationship Id="rId23" Type="http://schemas.openxmlformats.org/officeDocument/2006/relationships/hyperlink" Target="http://docs.aws.amazon.com/AWSCloudFormation/latest/UserGuide/aws-properties-ec2-security-group-rule.html" TargetMode="External"/><Relationship Id="rId28" Type="http://schemas.openxmlformats.org/officeDocument/2006/relationships/hyperlink" Target="http://docs.aws.amazon.com/AWSCloudFormation/latest/UserGuide/aws-properties-ec2-security-group-rule.html" TargetMode="External"/><Relationship Id="rId36" Type="http://schemas.openxmlformats.org/officeDocument/2006/relationships/hyperlink" Target="http://docs.aws.amazon.com/AWSCloudFormation/latest/UserGuide/aws-properties-ec2-security-group-rule.html" TargetMode="External"/><Relationship Id="rId10" Type="http://schemas.openxmlformats.org/officeDocument/2006/relationships/hyperlink" Target="http://docs.aws.amazon.com/AWSCloudFormation/latest/UserGuide/aws-properties-ec2-security-group-rule.html" TargetMode="External"/><Relationship Id="rId19" Type="http://schemas.openxmlformats.org/officeDocument/2006/relationships/hyperlink" Target="http://docs.aws.amazon.com/AWSCloudFormation/latest/UserGuide/aws-properties-ec2-security-group-rule.html" TargetMode="External"/><Relationship Id="rId31" Type="http://schemas.openxmlformats.org/officeDocument/2006/relationships/hyperlink" Target="http://docs.aws.amazon.com/AWSCloudFormation/latest/UserGuide/aws-properties-ec2-security-group-rule.html" TargetMode="External"/><Relationship Id="rId44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security-group.html" TargetMode="External"/><Relationship Id="rId9" Type="http://schemas.openxmlformats.org/officeDocument/2006/relationships/hyperlink" Target="http://docs.aws.amazon.com/AWSCloudFormation/latest/UserGuide/aws-properties-ec2-security-group-rule.html" TargetMode="External"/><Relationship Id="rId14" Type="http://schemas.openxmlformats.org/officeDocument/2006/relationships/hyperlink" Target="http://docs.aws.amazon.com/AWSCloudFormation/latest/UserGuide/aws-properties-ec2-security-group-rule.html" TargetMode="External"/><Relationship Id="rId22" Type="http://schemas.openxmlformats.org/officeDocument/2006/relationships/hyperlink" Target="http://docs.aws.amazon.com/AWSCloudFormation/latest/UserGuide/aws-properties-ec2-security-group-rule.html" TargetMode="External"/><Relationship Id="rId27" Type="http://schemas.openxmlformats.org/officeDocument/2006/relationships/hyperlink" Target="http://docs.aws.amazon.com/AWSCloudFormation/latest/UserGuide/aws-properties-ec2-security-group-rule.html" TargetMode="External"/><Relationship Id="rId30" Type="http://schemas.openxmlformats.org/officeDocument/2006/relationships/hyperlink" Target="http://docs.aws.amazon.com/AWSCloudFormation/latest/UserGuide/aws-properties-ec2-security-group-rule.html" TargetMode="External"/><Relationship Id="rId35" Type="http://schemas.openxmlformats.org/officeDocument/2006/relationships/hyperlink" Target="http://docs.aws.amazon.com/AWSCloudFormation/latest/UserGuide/aws-properties-ec2-security-group-rule.html" TargetMode="External"/><Relationship Id="rId43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security-group-rule.html" TargetMode="External"/><Relationship Id="rId3" Type="http://schemas.openxmlformats.org/officeDocument/2006/relationships/hyperlink" Target="http://docs.aws.amazon.com/AWSCloudFormation/latest/UserGuide/aws-properties-ec2-security-group.html" TargetMode="External"/><Relationship Id="rId12" Type="http://schemas.openxmlformats.org/officeDocument/2006/relationships/hyperlink" Target="http://docs.aws.amazon.com/AWSCloudFormation/latest/UserGuide/aws-properties-ec2-security-group-rule.html" TargetMode="External"/><Relationship Id="rId17" Type="http://schemas.openxmlformats.org/officeDocument/2006/relationships/hyperlink" Target="http://docs.aws.amazon.com/AWSCloudFormation/latest/UserGuide/aws-properties-ec2-security-group-rule.html" TargetMode="External"/><Relationship Id="rId25" Type="http://schemas.openxmlformats.org/officeDocument/2006/relationships/hyperlink" Target="http://docs.aws.amazon.com/AWSCloudFormation/latest/UserGuide/aws-properties-ec2-security-group-rule.html" TargetMode="External"/><Relationship Id="rId33" Type="http://schemas.openxmlformats.org/officeDocument/2006/relationships/hyperlink" Target="http://docs.aws.amazon.com/AWSCloudFormation/latest/UserGuide/aws-properties-ec2-security-group-rule.html" TargetMode="External"/><Relationship Id="rId38" Type="http://schemas.openxmlformats.org/officeDocument/2006/relationships/hyperlink" Target="http://docs.aws.amazon.com/AWSCloudFormation/latest/UserGuide/aws-properties-ec2-security-group-rule.html" TargetMode="External"/><Relationship Id="rId46" Type="http://schemas.openxmlformats.org/officeDocument/2006/relationships/hyperlink" Target="http://docs.aws.amazon.com/AWSCloudFormation/latest/UserGuide/aws-properties-resource-tags.html" TargetMode="External"/><Relationship Id="rId20" Type="http://schemas.openxmlformats.org/officeDocument/2006/relationships/hyperlink" Target="http://docs.aws.amazon.com/AWSCloudFormation/latest/UserGuide/aws-properties-ec2-security-group-rule.html" TargetMode="External"/><Relationship Id="rId41" Type="http://schemas.openxmlformats.org/officeDocument/2006/relationships/hyperlink" Target="http://docs.aws.amazon.com/AWSCloudFormation/latest/UserGuide/aws-properties-ec2-security-group-rule.html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security-group-egress.html" TargetMode="External"/><Relationship Id="rId3" Type="http://schemas.openxmlformats.org/officeDocument/2006/relationships/hyperlink" Target="http://docs.aws.amazon.com/AWSCloudFormation/latest/UserGuide/aws-resource-ec2-security-group-egress.html" TargetMode="External"/><Relationship Id="rId7" Type="http://schemas.openxmlformats.org/officeDocument/2006/relationships/hyperlink" Target="http://docs.aws.amazon.com/AWSCloudFormation/latest/UserGuide/aws-resource-ec2-security-group-egress.html" TargetMode="External"/><Relationship Id="rId2" Type="http://schemas.openxmlformats.org/officeDocument/2006/relationships/hyperlink" Target="http://docs.aws.amazon.com/AWSCloudFormation/latest/UserGuide/aws-resource-ec2-security-group-egress.html" TargetMode="External"/><Relationship Id="rId1" Type="http://schemas.openxmlformats.org/officeDocument/2006/relationships/hyperlink" Target="http://docs.aws.amazon.com/AWSCloudFormation/latest/UserGuide/aws-resource-ec2-security-group-egress.html" TargetMode="External"/><Relationship Id="rId6" Type="http://schemas.openxmlformats.org/officeDocument/2006/relationships/hyperlink" Target="http://docs.aws.amazon.com/AWSCloudFormation/latest/UserGuide/aws-resource-ec2-security-group-egress.html" TargetMode="External"/><Relationship Id="rId5" Type="http://schemas.openxmlformats.org/officeDocument/2006/relationships/hyperlink" Target="http://docs.aws.amazon.com/AWSCloudFormation/latest/UserGuide/aws-resource-ec2-security-group-egress.html" TargetMode="External"/><Relationship Id="rId10" Type="http://schemas.openxmlformats.org/officeDocument/2006/relationships/hyperlink" Target="http://docs.aws.amazon.com/AWSCloudFormation/latest/UserGuide/aws-resource-ec2-security-group-egress.html" TargetMode="External"/><Relationship Id="rId4" Type="http://schemas.openxmlformats.org/officeDocument/2006/relationships/hyperlink" Target="http://docs.aws.amazon.com/AWSCloudFormation/latest/UserGuide/aws-resource-ec2-security-group-egress.html" TargetMode="External"/><Relationship Id="rId9" Type="http://schemas.openxmlformats.org/officeDocument/2006/relationships/hyperlink" Target="http://docs.aws.amazon.com/AWSCloudFormation/latest/UserGuide/aws-resource-ec2-security-group-egress.html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http://docs.aws.amazon.com/AWSCloudFormation/latest/UserGuide/aws-properties-ec2-instance-ssmassociations-associationparameter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63" Type="http://schemas.openxmlformats.org/officeDocument/2006/relationships/hyperlink" Target="http://docs.aws.amazon.com/AWSCloudFormation/latest/UserGuide/aws-properties-ec2-instance-licensespecification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-instanceipv6address.html" TargetMode="External"/><Relationship Id="rId58" Type="http://schemas.openxmlformats.org/officeDocument/2006/relationships/hyperlink" Target="http://docs.aws.amazon.com/AWSCloudFormation/latest/UserGuide/aws-properties-ec2-instance-launchtemplatespecification.html" TargetMode="External"/><Relationship Id="rId74" Type="http://schemas.openxmlformats.org/officeDocument/2006/relationships/hyperlink" Target="http://docs.aws.amazon.com/AWSCloudFormation/latest/UserGuide/aws-properties-ec2-instance-instanceipv6address.html" TargetMode="External"/><Relationship Id="rId79" Type="http://schemas.openxmlformats.org/officeDocument/2006/relationships/hyperlink" Target="http://docs.aws.amazon.com/AWSCloudFormation/latest/UserGuide/aws-properties-ec2-network-interface-privateipspec.html" TargetMode="External"/><Relationship Id="rId102" Type="http://schemas.openxmlformats.org/officeDocument/2006/relationships/hyperlink" Target="http://docs.aws.amazon.com/AWSCloudFormation/latest/UserGuide/aws-properties-ec2-instance.html" TargetMode="External"/><Relationship Id="rId123" Type="http://schemas.openxmlformats.org/officeDocument/2006/relationships/hyperlink" Target="http://docs.aws.amazon.com/AWSCloudFormation/latest/UserGuide/aws-properties-resource-tags.html" TargetMode="External"/><Relationship Id="rId128" Type="http://schemas.openxmlformats.org/officeDocument/2006/relationships/hyperlink" Target="http://docs.aws.amazon.com/AWSCloudFormation/latest/UserGuide/aws-properties-ec2-instance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64" Type="http://schemas.openxmlformats.org/officeDocument/2006/relationships/hyperlink" Target="http://docs.aws.amazon.com/AWSCloudFormation/latest/UserGuide/aws-properties-ec2-instance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59" Type="http://schemas.openxmlformats.org/officeDocument/2006/relationships/hyperlink" Target="http://docs.aws.amazon.com/AWSCloudFormation/latest/UserGuide/aws-properties-ec2-instance-launchtemplatespecification.html" TargetMode="External"/><Relationship Id="rId103" Type="http://schemas.openxmlformats.org/officeDocument/2006/relationships/hyperlink" Target="http://docs.aws.amazon.com/AWSCloudFormation/latest/UserGuide/aws-properties-ec2-instance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24" Type="http://schemas.openxmlformats.org/officeDocument/2006/relationships/hyperlink" Target="http://docs.aws.amazon.com/AWSCloudFormation/latest/UserGuide/aws-properties-resource-tags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54" Type="http://schemas.openxmlformats.org/officeDocument/2006/relationships/hyperlink" Target="http://docs.aws.amazon.com/AWSCloudFormation/latest/UserGuide/aws-properties-ec2-instance-instanceipv6address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network-iface-embedded.html" TargetMode="External"/><Relationship Id="rId91" Type="http://schemas.openxmlformats.org/officeDocument/2006/relationships/hyperlink" Target="http://docs.aws.amazon.com/AWSCloudFormation/latest/UserGuide/aws-properties-ec2-instance-instanceipv6address.html" TargetMode="External"/><Relationship Id="rId96" Type="http://schemas.openxmlformats.org/officeDocument/2006/relationships/hyperlink" Target="http://docs.aws.amazon.com/AWSCloudFormation/latest/UserGuide/aws-properties-ec2-network-interface-privateipspec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44" Type="http://schemas.openxmlformats.org/officeDocument/2006/relationships/hyperlink" Target="http://docs.aws.amazon.com/AWSCloudFormation/latest/UserGuide/aws-properties-ec2-instance-hibernationoptions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130" Type="http://schemas.openxmlformats.org/officeDocument/2006/relationships/hyperlink" Target="http://docs.aws.amazon.com/AWSCloudFormation/latest/UserGuide/aws-properties-ec2-mount-point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-ssmassociations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.html" TargetMode="External"/><Relationship Id="rId76" Type="http://schemas.openxmlformats.org/officeDocument/2006/relationships/hyperlink" Target="http://docs.aws.amazon.com/AWSCloudFormation/latest/UserGuide/aws-properties-ec2-network-iface-embedded.html" TargetMode="External"/><Relationship Id="rId97" Type="http://schemas.openxmlformats.org/officeDocument/2006/relationships/hyperlink" Target="http://docs.aws.amazon.com/AWSCloudFormation/latest/UserGuide/aws-properties-ec2-network-interface-privateipspec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instance-instanceipv6address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network-iface-embedded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-ssmassociations-associationparameters.html" TargetMode="External"/><Relationship Id="rId115" Type="http://schemas.openxmlformats.org/officeDocument/2006/relationships/hyperlink" Target="http://docs.aws.amazon.com/AWSCloudFormation/latest/UserGuide/aws-properties-ec2-instance-ssmassociations.html" TargetMode="External"/><Relationship Id="rId131" Type="http://schemas.openxmlformats.org/officeDocument/2006/relationships/hyperlink" Target="http://docs.aws.amazon.com/AWSCloudFormation/latest/UserGuide/aws-properties-ec2-mount-point.html" TargetMode="External"/><Relationship Id="rId61" Type="http://schemas.openxmlformats.org/officeDocument/2006/relationships/hyperlink" Target="http://docs.aws.amazon.com/AWSCloudFormation/latest/UserGuide/aws-properties-ec2-instance.html" TargetMode="External"/><Relationship Id="rId82" Type="http://schemas.openxmlformats.org/officeDocument/2006/relationships/hyperlink" Target="http://docs.aws.amazon.com/AWSCloudFormation/latest/UserGuide/aws-properties-ec2-network-iface-embedded.html" TargetMode="External"/><Relationship Id="rId19" Type="http://schemas.openxmlformats.org/officeDocument/2006/relationships/hyperlink" Target="http://docs.aws.amazon.com/AWSCloudFormation/latest/UserGuide/aws-properties-ec2-blockdev-template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face-embedded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network-iface-embedded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46" Type="http://schemas.openxmlformats.org/officeDocument/2006/relationships/hyperlink" Target="http://docs.aws.amazon.com/AWSCloudFormation/latest/UserGuide/aws-properties-ec2-instance.html" TargetMode="External"/><Relationship Id="rId67" Type="http://schemas.openxmlformats.org/officeDocument/2006/relationships/hyperlink" Target="http://docs.aws.amazon.com/AWSCloudFormation/latest/UserGuide/aws-properties-ec2-network-iface-embedded.html" TargetMode="External"/><Relationship Id="rId116" Type="http://schemas.openxmlformats.org/officeDocument/2006/relationships/hyperlink" Target="http://docs.aws.amazon.com/AWSCloudFormation/latest/UserGuide/aws-properties-ec2-instance-ssmassociations-associationparameters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62" Type="http://schemas.openxmlformats.org/officeDocument/2006/relationships/hyperlink" Target="http://docs.aws.amazon.com/AWSCloudFormation/latest/UserGuide/aws-properties-ec2-instance-licensespecification.html" TargetMode="External"/><Relationship Id="rId83" Type="http://schemas.openxmlformats.org/officeDocument/2006/relationships/hyperlink" Target="http://docs.aws.amazon.com/AWSCloudFormation/latest/UserGuide/aws-properties-ec2-network-iface-embedded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-associationparameter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27" Type="http://schemas.openxmlformats.org/officeDocument/2006/relationships/hyperlink" Target="http://docs.aws.amazon.com/AWSCloudFormation/latest/UserGuide/aws-properties-ec2-instance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73" Type="http://schemas.openxmlformats.org/officeDocument/2006/relationships/hyperlink" Target="http://docs.aws.amazon.com/AWSCloudFormation/latest/UserGuide/aws-properties-ec2-instance-instanceipv6address.html" TargetMode="External"/><Relationship Id="rId78" Type="http://schemas.openxmlformats.org/officeDocument/2006/relationships/hyperlink" Target="http://docs.aws.amazon.com/AWSCloudFormation/latest/UserGuide/aws-properties-ec2-network-interface-privateipspec.html" TargetMode="External"/><Relationship Id="rId94" Type="http://schemas.openxmlformats.org/officeDocument/2006/relationships/hyperlink" Target="http://docs.aws.amazon.com/AWSCloudFormation/latest/UserGuide/aws-properties-ec2-network-iface-embedded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face-embedded.html" TargetMode="External"/><Relationship Id="rId122" Type="http://schemas.openxmlformats.org/officeDocument/2006/relationships/hyperlink" Target="http://docs.aws.amazon.com/AWSCloudFormation/latest/UserGuide/aws-properties-ec2-instance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26" Type="http://schemas.openxmlformats.org/officeDocument/2006/relationships/hyperlink" Target="http://docs.aws.amazon.com/AWSCloudFormation/latest/UserGuide/aws-properties-ec2-blockdev-mapping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E152"/>
  <sheetViews>
    <sheetView zoomScaleNormal="100" workbookViewId="0">
      <selection activeCell="B31" sqref="B31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1" spans="2:31">
      <c r="B1" t="s">
        <v>147</v>
      </c>
    </row>
    <row r="2" spans="2:31">
      <c r="D2" t="s">
        <v>113</v>
      </c>
    </row>
    <row r="3" spans="2:31">
      <c r="D3" t="s">
        <v>112</v>
      </c>
      <c r="O3" t="s">
        <v>90</v>
      </c>
      <c r="AB3" t="s">
        <v>88</v>
      </c>
    </row>
    <row r="4" spans="2:31">
      <c r="D4" t="s">
        <v>111</v>
      </c>
      <c r="N4" s="7" t="s">
        <v>84</v>
      </c>
      <c r="O4" s="7" t="s">
        <v>92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 t="s">
        <v>86</v>
      </c>
      <c r="AC4" s="7" t="s">
        <v>139</v>
      </c>
      <c r="AD4" s="7" t="s">
        <v>140</v>
      </c>
      <c r="AE4" s="7" t="s">
        <v>87</v>
      </c>
    </row>
    <row r="5" spans="2:31">
      <c r="B5" s="7" t="s">
        <v>89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83</v>
      </c>
      <c r="AA5" s="1" t="s">
        <v>85</v>
      </c>
      <c r="AB5" s="1"/>
      <c r="AC5" s="1"/>
      <c r="AD5" s="1"/>
      <c r="AE5" s="1"/>
    </row>
    <row r="6" spans="2:31">
      <c r="B6" s="6" t="s">
        <v>148</v>
      </c>
      <c r="D6" t="s">
        <v>110</v>
      </c>
      <c r="N6" s="6">
        <f t="shared" ref="N6:N69" si="0">ROW()-4</f>
        <v>2</v>
      </c>
      <c r="P6" s="1"/>
      <c r="Q6" t="s">
        <v>3</v>
      </c>
    </row>
    <row r="7" spans="2:31">
      <c r="B7" s="10"/>
      <c r="D7" t="s">
        <v>93</v>
      </c>
      <c r="N7" s="6">
        <f t="shared" si="0"/>
        <v>3</v>
      </c>
      <c r="P7" s="1"/>
      <c r="Q7" t="s">
        <v>91</v>
      </c>
    </row>
    <row r="8" spans="2:31">
      <c r="B8" s="7" t="s">
        <v>146</v>
      </c>
      <c r="D8" t="s">
        <v>94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9" t="s">
        <v>149</v>
      </c>
      <c r="N9" s="6">
        <f t="shared" si="0"/>
        <v>5</v>
      </c>
      <c r="P9" s="1"/>
      <c r="Q9" s="2"/>
      <c r="R9" t="s">
        <v>4</v>
      </c>
    </row>
    <row r="10" spans="2:31">
      <c r="D10" t="s">
        <v>99</v>
      </c>
      <c r="N10" s="6">
        <f t="shared" si="0"/>
        <v>6</v>
      </c>
      <c r="P10" s="1"/>
      <c r="Q10" s="2"/>
      <c r="R10" t="s">
        <v>5</v>
      </c>
    </row>
    <row r="11" spans="2:31">
      <c r="B11" s="7" t="s">
        <v>0</v>
      </c>
      <c r="D11" t="s">
        <v>96</v>
      </c>
      <c r="N11" s="6">
        <f t="shared" si="0"/>
        <v>7</v>
      </c>
      <c r="P11" s="1"/>
      <c r="Q11" s="2"/>
      <c r="R11" t="s">
        <v>6</v>
      </c>
    </row>
    <row r="12" spans="2:31">
      <c r="B12" s="9" t="s">
        <v>116</v>
      </c>
      <c r="D12" t="s">
        <v>97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9" t="s">
        <v>117</v>
      </c>
      <c r="D13" t="s">
        <v>98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9" t="s">
        <v>118</v>
      </c>
      <c r="D14" t="s">
        <v>100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9" t="s">
        <v>119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9" t="s">
        <v>120</v>
      </c>
      <c r="D16" t="s">
        <v>102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9" t="s">
        <v>121</v>
      </c>
      <c r="D17" t="s">
        <v>101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9" t="s">
        <v>122</v>
      </c>
      <c r="D18" t="s">
        <v>106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9" t="s">
        <v>124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9" t="s">
        <v>125</v>
      </c>
      <c r="D20" t="s">
        <v>104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9" t="s">
        <v>126</v>
      </c>
      <c r="D21" t="s">
        <v>103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9" t="s">
        <v>278</v>
      </c>
      <c r="D22" t="s">
        <v>105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9" t="s">
        <v>123</v>
      </c>
      <c r="D23" t="s">
        <v>107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9" t="s">
        <v>382</v>
      </c>
      <c r="D24" t="s">
        <v>108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9" t="s">
        <v>381</v>
      </c>
      <c r="D25" t="s">
        <v>109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9" t="s">
        <v>279</v>
      </c>
      <c r="D26" t="s">
        <v>95</v>
      </c>
      <c r="N26" s="6">
        <f t="shared" si="0"/>
        <v>22</v>
      </c>
      <c r="P26" s="1"/>
      <c r="Q26" s="2"/>
      <c r="U26" t="s">
        <v>10</v>
      </c>
    </row>
    <row r="27" spans="2:21">
      <c r="B27" s="9"/>
      <c r="N27" s="6">
        <f t="shared" si="0"/>
        <v>23</v>
      </c>
      <c r="P27" s="1"/>
      <c r="U27" t="s">
        <v>11</v>
      </c>
    </row>
    <row r="28" spans="2:21">
      <c r="B28" s="9"/>
      <c r="N28" s="6">
        <f t="shared" si="0"/>
        <v>24</v>
      </c>
      <c r="U28" t="s">
        <v>12</v>
      </c>
    </row>
    <row r="29" spans="2:21">
      <c r="B29" s="9"/>
      <c r="N29" s="6">
        <f t="shared" si="0"/>
        <v>25</v>
      </c>
      <c r="U29" t="s">
        <v>13</v>
      </c>
    </row>
    <row r="30" spans="2:21">
      <c r="B30" s="9"/>
      <c r="N30" s="6">
        <f t="shared" si="0"/>
        <v>26</v>
      </c>
      <c r="U30" t="s">
        <v>14</v>
      </c>
    </row>
    <row r="31" spans="2:21">
      <c r="B31" s="9"/>
      <c r="N31" s="6">
        <f t="shared" si="0"/>
        <v>27</v>
      </c>
      <c r="U31" t="s">
        <v>15</v>
      </c>
    </row>
    <row r="32" spans="2:21">
      <c r="B32" s="9"/>
      <c r="N32" s="6">
        <f t="shared" si="0"/>
        <v>28</v>
      </c>
      <c r="U32" t="s">
        <v>16</v>
      </c>
    </row>
    <row r="33" spans="2:21">
      <c r="B33" s="9"/>
      <c r="N33" s="6">
        <f t="shared" si="0"/>
        <v>29</v>
      </c>
      <c r="U33" t="s">
        <v>17</v>
      </c>
    </row>
    <row r="34" spans="2:21">
      <c r="B34" s="9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>
      <selection activeCell="E15" sqref="E15"/>
    </sheetView>
  </sheetViews>
  <sheetFormatPr defaultRowHeight="18.75"/>
  <cols>
    <col min="1" max="2" width="4.75" style="8" customWidth="1"/>
    <col min="3" max="3" width="19.75" style="8" customWidth="1"/>
    <col min="4" max="4" width="19.875" style="8" customWidth="1"/>
    <col min="5" max="5" width="102.125" style="8" customWidth="1"/>
    <col min="6" max="16384" width="9" style="8"/>
  </cols>
  <sheetData>
    <row r="2" spans="3:5" hidden="1"/>
    <row r="3" spans="3:5" hidden="1"/>
    <row r="4" spans="3:5" hidden="1"/>
    <row r="5" spans="3:5" hidden="1"/>
    <row r="8" spans="3:5">
      <c r="C8" s="7" t="s">
        <v>127</v>
      </c>
      <c r="D8" s="7" t="s">
        <v>128</v>
      </c>
      <c r="E8" s="7" t="s">
        <v>129</v>
      </c>
    </row>
    <row r="9" spans="3:5" ht="93.75">
      <c r="C9" s="11" t="s">
        <v>145</v>
      </c>
      <c r="D9" s="12" t="s">
        <v>130</v>
      </c>
      <c r="E9" s="13" t="s">
        <v>131</v>
      </c>
    </row>
    <row r="10" spans="3:5">
      <c r="C10" s="9" t="s">
        <v>132</v>
      </c>
      <c r="D10" s="9" t="s">
        <v>138</v>
      </c>
      <c r="E10" s="9" t="s">
        <v>133</v>
      </c>
    </row>
    <row r="11" spans="3:5">
      <c r="C11" s="9" t="s">
        <v>134</v>
      </c>
      <c r="D11" s="9"/>
      <c r="E11" s="9" t="s">
        <v>141</v>
      </c>
    </row>
    <row r="12" spans="3:5">
      <c r="C12" s="9" t="s">
        <v>135</v>
      </c>
      <c r="D12" s="9"/>
      <c r="E12" s="9" t="s">
        <v>142</v>
      </c>
    </row>
    <row r="13" spans="3:5">
      <c r="C13" s="9" t="s">
        <v>136</v>
      </c>
      <c r="D13" s="9"/>
      <c r="E13" s="9" t="s">
        <v>143</v>
      </c>
    </row>
    <row r="14" spans="3:5">
      <c r="C14" s="9" t="s">
        <v>137</v>
      </c>
      <c r="D14" s="9"/>
      <c r="E14" s="9" t="s">
        <v>144</v>
      </c>
    </row>
    <row r="15" spans="3:5">
      <c r="C15" s="9"/>
      <c r="D15" s="9"/>
      <c r="E15" s="9"/>
    </row>
    <row r="16" spans="3:5">
      <c r="C16" s="9"/>
      <c r="D16" s="9"/>
      <c r="E16" s="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7" t="s">
        <v>114</v>
      </c>
      <c r="C2" s="7" t="s">
        <v>115</v>
      </c>
    </row>
    <row r="3" spans="2:3">
      <c r="B3" s="6" t="s">
        <v>323</v>
      </c>
      <c r="C3" s="6" t="s">
        <v>324</v>
      </c>
    </row>
    <row r="4" spans="2:3">
      <c r="B4" s="6" t="s">
        <v>325</v>
      </c>
      <c r="C4" s="6" t="s">
        <v>326</v>
      </c>
    </row>
    <row r="5" spans="2:3">
      <c r="B5" s="6" t="s">
        <v>327</v>
      </c>
      <c r="C5" s="6" t="s">
        <v>295</v>
      </c>
    </row>
    <row r="6" spans="2:3">
      <c r="B6" s="6" t="s">
        <v>327</v>
      </c>
      <c r="C6" s="6" t="s">
        <v>297</v>
      </c>
    </row>
    <row r="7" spans="2:3">
      <c r="B7" s="6" t="s">
        <v>327</v>
      </c>
      <c r="C7" s="6" t="s">
        <v>299</v>
      </c>
    </row>
    <row r="8" spans="2:3">
      <c r="B8" s="6" t="s">
        <v>327</v>
      </c>
      <c r="C8" s="6" t="s">
        <v>301</v>
      </c>
    </row>
    <row r="9" spans="2:3">
      <c r="B9" s="6" t="s">
        <v>327</v>
      </c>
      <c r="C9" s="6" t="s">
        <v>303</v>
      </c>
    </row>
    <row r="10" spans="2:3">
      <c r="B10" s="6" t="s">
        <v>327</v>
      </c>
      <c r="C10" s="6" t="s">
        <v>305</v>
      </c>
    </row>
    <row r="11" spans="2:3">
      <c r="B11" s="6" t="s">
        <v>328</v>
      </c>
      <c r="C11" s="6" t="s">
        <v>307</v>
      </c>
    </row>
    <row r="12" spans="2:3">
      <c r="B12" s="6" t="s">
        <v>328</v>
      </c>
      <c r="C12" s="6" t="s">
        <v>309</v>
      </c>
    </row>
    <row r="13" spans="2:3">
      <c r="B13" s="6" t="s">
        <v>328</v>
      </c>
      <c r="C13" s="6" t="s">
        <v>311</v>
      </c>
    </row>
    <row r="14" spans="2:3">
      <c r="B14" s="6" t="s">
        <v>328</v>
      </c>
      <c r="C14" s="6" t="s">
        <v>313</v>
      </c>
    </row>
    <row r="15" spans="2:3">
      <c r="B15" s="6" t="s">
        <v>347</v>
      </c>
      <c r="C15" s="6" t="s">
        <v>331</v>
      </c>
    </row>
    <row r="16" spans="2:3">
      <c r="B16" s="6" t="s">
        <v>347</v>
      </c>
      <c r="C16" s="6" t="s">
        <v>340</v>
      </c>
    </row>
    <row r="17" spans="2:3">
      <c r="B17" s="6" t="s">
        <v>374</v>
      </c>
      <c r="C17" s="6" t="s">
        <v>348</v>
      </c>
    </row>
    <row r="18" spans="2:3">
      <c r="B18" s="6" t="s">
        <v>374</v>
      </c>
      <c r="C18" s="6" t="s">
        <v>350</v>
      </c>
    </row>
    <row r="19" spans="2:3">
      <c r="B19" s="6" t="s">
        <v>375</v>
      </c>
      <c r="C19" s="6" t="s">
        <v>360</v>
      </c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C17" sqref="C17"/>
    </sheetView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7" t="s">
        <v>114</v>
      </c>
      <c r="C2" s="7" t="s">
        <v>115</v>
      </c>
    </row>
    <row r="3" spans="2:3">
      <c r="B3" s="6" t="s">
        <v>323</v>
      </c>
      <c r="C3" s="6" t="s">
        <v>324</v>
      </c>
    </row>
    <row r="4" spans="2:3">
      <c r="B4" s="6" t="s">
        <v>325</v>
      </c>
      <c r="C4" s="6" t="s">
        <v>326</v>
      </c>
    </row>
    <row r="5" spans="2:3">
      <c r="B5" s="6" t="s">
        <v>327</v>
      </c>
      <c r="C5" s="6" t="s">
        <v>295</v>
      </c>
    </row>
    <row r="6" spans="2:3">
      <c r="B6" s="6" t="s">
        <v>327</v>
      </c>
      <c r="C6" s="6" t="s">
        <v>297</v>
      </c>
    </row>
    <row r="7" spans="2:3">
      <c r="B7" s="6" t="s">
        <v>327</v>
      </c>
      <c r="C7" s="6" t="s">
        <v>299</v>
      </c>
    </row>
    <row r="8" spans="2:3">
      <c r="B8" s="6" t="s">
        <v>327</v>
      </c>
      <c r="C8" s="6" t="s">
        <v>301</v>
      </c>
    </row>
    <row r="9" spans="2:3">
      <c r="B9" s="6" t="s">
        <v>327</v>
      </c>
      <c r="C9" s="6" t="s">
        <v>303</v>
      </c>
    </row>
    <row r="10" spans="2:3">
      <c r="B10" s="6" t="s">
        <v>327</v>
      </c>
      <c r="C10" s="6" t="s">
        <v>305</v>
      </c>
    </row>
    <row r="11" spans="2:3">
      <c r="B11" s="6" t="s">
        <v>328</v>
      </c>
      <c r="C11" s="6" t="s">
        <v>307</v>
      </c>
    </row>
    <row r="12" spans="2:3">
      <c r="B12" s="6" t="s">
        <v>328</v>
      </c>
      <c r="C12" s="6" t="s">
        <v>309</v>
      </c>
    </row>
    <row r="13" spans="2:3">
      <c r="B13" s="6" t="s">
        <v>328</v>
      </c>
      <c r="C13" s="6" t="s">
        <v>311</v>
      </c>
    </row>
    <row r="14" spans="2:3">
      <c r="B14" s="6" t="s">
        <v>328</v>
      </c>
      <c r="C14" s="6" t="s">
        <v>313</v>
      </c>
    </row>
    <row r="15" spans="2:3">
      <c r="B15" s="6" t="s">
        <v>374</v>
      </c>
      <c r="C15" s="6" t="s">
        <v>348</v>
      </c>
    </row>
    <row r="16" spans="2:3">
      <c r="B16" s="6" t="s">
        <v>374</v>
      </c>
      <c r="C16" s="6" t="s">
        <v>350</v>
      </c>
    </row>
    <row r="17" spans="2:3">
      <c r="B17" s="6" t="s">
        <v>347</v>
      </c>
      <c r="C17" s="6" t="s">
        <v>331</v>
      </c>
    </row>
    <row r="18" spans="2:3">
      <c r="B18" s="6" t="s">
        <v>347</v>
      </c>
      <c r="C18" s="6" t="s">
        <v>340</v>
      </c>
    </row>
    <row r="19" spans="2:3">
      <c r="B19" s="6" t="s">
        <v>375</v>
      </c>
      <c r="C19" s="6" t="s">
        <v>360</v>
      </c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D87-BEC1-4555-89A4-35F5530E925D}">
  <sheetPr codeName="Sheet3"/>
  <dimension ref="A1:V14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17" sqref="U17:V1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14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229</v>
      </c>
    </row>
    <row r="4" spans="1:22">
      <c r="B4" s="9">
        <f t="shared" si="0"/>
        <v>2</v>
      </c>
      <c r="C4" s="19"/>
      <c r="D4" s="25"/>
      <c r="E4" s="20" t="s">
        <v>154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15" t="s">
        <v>157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">
        <v>222</v>
      </c>
    </row>
    <row r="7" spans="1:22">
      <c r="B7" s="9">
        <f t="shared" si="0"/>
        <v>5</v>
      </c>
      <c r="C7" s="19"/>
      <c r="D7" s="25"/>
      <c r="E7" s="20"/>
      <c r="F7" s="15" t="s">
        <v>158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159</v>
      </c>
      <c r="T7" s="18" t="s">
        <v>156</v>
      </c>
      <c r="U7" s="9"/>
      <c r="V7" s="17" t="s">
        <v>223</v>
      </c>
    </row>
    <row r="8" spans="1:22">
      <c r="B8" s="9">
        <f t="shared" si="0"/>
        <v>6</v>
      </c>
      <c r="C8" s="19"/>
      <c r="D8" s="25"/>
      <c r="E8" s="20"/>
      <c r="F8" s="15" t="s">
        <v>160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159</v>
      </c>
      <c r="T8" s="18" t="s">
        <v>156</v>
      </c>
      <c r="U8" s="9"/>
      <c r="V8" s="17" t="s">
        <v>223</v>
      </c>
    </row>
    <row r="9" spans="1:22">
      <c r="B9" s="9">
        <f t="shared" si="0"/>
        <v>7</v>
      </c>
      <c r="C9" s="19"/>
      <c r="D9" s="25"/>
      <c r="E9" s="20"/>
      <c r="F9" s="15" t="s">
        <v>161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 t="s">
        <v>224</v>
      </c>
    </row>
    <row r="10" spans="1:22">
      <c r="B10" s="9">
        <f t="shared" si="0"/>
        <v>8</v>
      </c>
      <c r="C10" s="19"/>
      <c r="D10" s="25"/>
      <c r="E10" s="20"/>
      <c r="F10" s="26" t="s">
        <v>2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7"/>
      <c r="S10" s="28" t="s">
        <v>155</v>
      </c>
      <c r="T10" s="29" t="s">
        <v>156</v>
      </c>
      <c r="U10" s="30"/>
      <c r="V10" s="30"/>
    </row>
    <row r="11" spans="1:22">
      <c r="B11" s="9">
        <f t="shared" si="0"/>
        <v>9</v>
      </c>
      <c r="C11" s="19"/>
      <c r="D11" s="25"/>
      <c r="E11" s="20"/>
      <c r="F11" s="26"/>
      <c r="G11" s="31" t="s">
        <v>162</v>
      </c>
      <c r="H11" s="15" t="s">
        <v>163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/>
    </row>
    <row r="12" spans="1:22">
      <c r="B12" s="9">
        <f t="shared" si="0"/>
        <v>10</v>
      </c>
      <c r="C12" s="19"/>
      <c r="D12" s="25"/>
      <c r="E12" s="20"/>
      <c r="F12" s="26"/>
      <c r="G12" s="15"/>
      <c r="H12" s="15" t="s">
        <v>71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/>
    </row>
    <row r="13" spans="1:22">
      <c r="B13" s="9">
        <f t="shared" si="0"/>
        <v>11</v>
      </c>
      <c r="C13" s="19"/>
      <c r="D13" s="25"/>
      <c r="E13" s="20"/>
      <c r="F13" s="26"/>
      <c r="G13" s="31" t="s">
        <v>162</v>
      </c>
      <c r="H13" s="15" t="s">
        <v>163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/>
    </row>
    <row r="14" spans="1:22">
      <c r="B14" s="9">
        <f t="shared" si="0"/>
        <v>12</v>
      </c>
      <c r="C14" s="19"/>
      <c r="D14" s="25"/>
      <c r="E14" s="20"/>
      <c r="F14" s="26"/>
      <c r="G14" s="15"/>
      <c r="H14" s="15" t="s">
        <v>71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152</v>
      </c>
      <c r="T14" s="18" t="s">
        <v>156</v>
      </c>
      <c r="U14" s="9"/>
      <c r="V14" s="9"/>
    </row>
  </sheetData>
  <phoneticPr fontId="1"/>
  <hyperlinks>
    <hyperlink ref="T4" r:id="rId1" tooltip="http://docs.aws.amazon.com/AWSCloudFormation/latest/UserGuide/aws-resource-ec2-vpc.html" xr:uid="{59ACFAFC-7610-4D4A-A751-BDB062A62D7E}"/>
    <hyperlink ref="T6" r:id="rId2" location="cfn-aws-ec2-vpc-cidrblock" tooltip="http://docs.aws.amazon.com/AWSCloudFormation/latest/UserGuide/aws-resource-ec2-vpc.html#cfn-aws-ec2-vpc-cidrblock" xr:uid="{34F84B8B-5457-4241-8B59-7900B21917CD}"/>
    <hyperlink ref="T7" r:id="rId3" location="cfn-aws-ec2-vpc-EnableDnsHostnames" tooltip="http://docs.aws.amazon.com/AWSCloudFormation/latest/UserGuide/aws-resource-ec2-vpc.html#cfn-aws-ec2-vpc-EnableDnsHostnames" xr:uid="{EBF7AB23-0054-4335-B505-3EBD82237C74}"/>
    <hyperlink ref="T8" r:id="rId4" location="cfn-aws-ec2-vpc-EnableDnsSupport" tooltip="http://docs.aws.amazon.com/AWSCloudFormation/latest/UserGuide/aws-resource-ec2-vpc.html#cfn-aws-ec2-vpc-EnableDnsSupport" xr:uid="{B7A47796-A1A2-42AE-8717-5F0ADFE87E96}"/>
    <hyperlink ref="T9" r:id="rId5" location="cfn-aws-ec2-vpc-instancetenancy" tooltip="http://docs.aws.amazon.com/AWSCloudFormation/latest/UserGuide/aws-resource-ec2-vpc.html#cfn-aws-ec2-vpc-instancetenancy" xr:uid="{E0AF45FC-D4CC-4362-9464-D76E6B076E1B}"/>
    <hyperlink ref="T10" r:id="rId6" location="cfn-aws-ec2-vpc-tags" tooltip="http://docs.aws.amazon.com/AWSCloudFormation/latest/UserGuide/aws-resource-ec2-vpc.html#cfn-aws-ec2-vpc-tags" xr:uid="{EAD68FCC-3037-4366-A4DB-436C3728051C}"/>
    <hyperlink ref="T11" r:id="rId7" location="cfn-resource-tags-key" tooltip="http://docs.aws.amazon.com/AWSCloudFormation/latest/UserGuide/aws-properties-resource-tags.html#cfn-resource-tags-key" xr:uid="{42F9F950-44F4-40D9-8AF0-2DB776143693}"/>
    <hyperlink ref="T12" r:id="rId8" location="cfn-resource-tags-value" tooltip="http://docs.aws.amazon.com/AWSCloudFormation/latest/UserGuide/aws-properties-resource-tags.html#cfn-resource-tags-value" xr:uid="{12CEA711-6B71-4563-BFCE-7A5C34F6D4B9}"/>
    <hyperlink ref="T13" r:id="rId9" location="cfn-resource-tags-key" tooltip="http://docs.aws.amazon.com/AWSCloudFormation/latest/UserGuide/aws-properties-resource-tags.html#cfn-resource-tags-key" xr:uid="{9B2CC158-0C5C-4299-90E9-2656436632D9}"/>
    <hyperlink ref="T14" r:id="rId10" location="cfn-resource-tags-value" tooltip="http://docs.aws.amazon.com/AWSCloudFormation/latest/UserGuide/aws-properties-resource-tags.html#cfn-resource-tags-value" xr:uid="{5F454806-412D-40E4-997E-2C5362B46C6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84762-29FE-4BC8-B11B-A901C3784823}">
  <sheetPr codeName="Sheet5"/>
  <dimension ref="A1:V10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4" sqref="V4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10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226</v>
      </c>
    </row>
    <row r="4" spans="1:22">
      <c r="B4" s="9">
        <f t="shared" si="0"/>
        <v>2</v>
      </c>
      <c r="C4" s="19"/>
      <c r="D4" s="25"/>
      <c r="E4" s="20" t="s">
        <v>225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26" t="s">
        <v>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7"/>
      <c r="S6" s="28" t="s">
        <v>155</v>
      </c>
      <c r="T6" s="29" t="s">
        <v>156</v>
      </c>
      <c r="U6" s="30"/>
      <c r="V6" s="30"/>
    </row>
    <row r="7" spans="1:22">
      <c r="B7" s="9">
        <f t="shared" si="0"/>
        <v>5</v>
      </c>
      <c r="C7" s="19"/>
      <c r="D7" s="25"/>
      <c r="E7" s="20"/>
      <c r="F7" s="26"/>
      <c r="G7" s="31" t="s">
        <v>162</v>
      </c>
      <c r="H7" s="15" t="s">
        <v>163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</row>
    <row r="8" spans="1:22">
      <c r="B8" s="9">
        <f t="shared" si="0"/>
        <v>6</v>
      </c>
      <c r="C8" s="19"/>
      <c r="D8" s="25"/>
      <c r="E8" s="20"/>
      <c r="F8" s="26"/>
      <c r="G8" s="15"/>
      <c r="H8" s="15" t="s">
        <v>71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</row>
    <row r="9" spans="1:22">
      <c r="B9" s="9">
        <f t="shared" si="0"/>
        <v>7</v>
      </c>
      <c r="C9" s="19"/>
      <c r="D9" s="25"/>
      <c r="E9" s="20"/>
      <c r="F9" s="26"/>
      <c r="G9" s="31" t="s">
        <v>162</v>
      </c>
      <c r="H9" s="15" t="s">
        <v>163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/>
    </row>
    <row r="10" spans="1:22">
      <c r="B10" s="9">
        <f t="shared" si="0"/>
        <v>8</v>
      </c>
      <c r="C10" s="19"/>
      <c r="D10" s="25"/>
      <c r="E10" s="20"/>
      <c r="F10" s="26"/>
      <c r="G10" s="15"/>
      <c r="H10" s="15" t="s">
        <v>71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</row>
  </sheetData>
  <phoneticPr fontId="1"/>
  <hyperlinks>
    <hyperlink ref="T4" r:id="rId1" tooltip="http://docs.aws.amazon.com/AWSCloudFormation/latest/UserGuide/aws-resource-ec2-internetgateway.html" xr:uid="{AB9825B8-9324-471B-A7B1-B7879BDFBB91}"/>
    <hyperlink ref="T6" r:id="rId2" location="cfn-ec2-internetgateway-tags" tooltip="http://docs.aws.amazon.com/AWSCloudFormation/latest/UserGuide/aws-resource-ec2-internetgateway.html#cfn-ec2-internetgateway-tags" xr:uid="{2A402AE2-8CC0-4F1A-940F-3CC09A41CD1A}"/>
    <hyperlink ref="T7" r:id="rId3" location="cfn-resource-tags-key" tooltip="http://docs.aws.amazon.com/AWSCloudFormation/latest/UserGuide/aws-properties-resource-tags.html#cfn-resource-tags-key" xr:uid="{A4CC6F07-BAEC-44C2-8819-8553B249E97A}"/>
    <hyperlink ref="T8" r:id="rId4" location="cfn-resource-tags-value" tooltip="http://docs.aws.amazon.com/AWSCloudFormation/latest/UserGuide/aws-properties-resource-tags.html#cfn-resource-tags-value" xr:uid="{FAD2059C-7864-4DC8-A9B0-A40AF1837701}"/>
    <hyperlink ref="T9" r:id="rId5" location="cfn-resource-tags-key" tooltip="http://docs.aws.amazon.com/AWSCloudFormation/latest/UserGuide/aws-properties-resource-tags.html#cfn-resource-tags-key" xr:uid="{2263E3B4-D3DF-4D16-BB9C-45904817EBBD}"/>
    <hyperlink ref="T10" r:id="rId6" location="cfn-resource-tags-value" tooltip="http://docs.aws.amazon.com/AWSCloudFormation/latest/UserGuide/aws-properties-resource-tags.html#cfn-resource-tags-value" xr:uid="{41825799-3148-4FDE-97D3-26E1BA2CB72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240E-6D01-4833-A0DB-B57FF04259E1}">
  <sheetPr codeName="Sheet6"/>
  <dimension ref="A1:V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8" sqref="V8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8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228</v>
      </c>
    </row>
    <row r="4" spans="1:22">
      <c r="B4" s="9">
        <f t="shared" si="0"/>
        <v>2</v>
      </c>
      <c r="C4" s="19"/>
      <c r="D4" s="25"/>
      <c r="E4" s="20" t="s">
        <v>227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15" t="s">
        <v>169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tr">
        <f>InternetGateway!V3</f>
        <v>mirai-InternetGateway</v>
      </c>
    </row>
    <row r="7" spans="1:22">
      <c r="B7" s="9">
        <f t="shared" si="0"/>
        <v>5</v>
      </c>
      <c r="C7" s="19"/>
      <c r="D7" s="25"/>
      <c r="E7" s="20"/>
      <c r="F7" s="15" t="s">
        <v>170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 t="str">
        <f>VPC!V3</f>
        <v>miari-VPC</v>
      </c>
    </row>
    <row r="8" spans="1:22">
      <c r="B8" s="9">
        <f t="shared" si="0"/>
        <v>6</v>
      </c>
      <c r="C8" s="19"/>
      <c r="D8" s="25"/>
      <c r="E8" s="20"/>
      <c r="F8" s="15" t="s">
        <v>171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</row>
  </sheetData>
  <phoneticPr fontId="1"/>
  <hyperlinks>
    <hyperlink ref="T4" r:id="rId1" tooltip="http://docs.aws.amazon.com/AWSCloudFormation/latest/UserGuide/aws-resource-ec2-vpc-gateway-attachment.html" xr:uid="{4AAB96BE-A8CC-4C50-87EC-1D8A7AFDE8AA}"/>
    <hyperlink ref="T6" r:id="rId2" location="cfn-ec2-vpcgatewayattachment-internetgatewayid" tooltip="http://docs.aws.amazon.com/AWSCloudFormation/latest/UserGuide/aws-resource-ec2-vpc-gateway-attachment.html#cfn-ec2-vpcgatewayattachment-internetgatewayid" xr:uid="{1EE8C41A-E176-4B14-B71E-85D2711A97C7}"/>
    <hyperlink ref="T7" r:id="rId3" location="cfn-ec2-vpcgatewayattachment-vpcid" tooltip="http://docs.aws.amazon.com/AWSCloudFormation/latest/UserGuide/aws-resource-ec2-vpc-gateway-attachment.html#cfn-ec2-vpcgatewayattachment-vpcid" xr:uid="{EE01EA2B-8C5B-4EEC-9171-757153032ADF}"/>
    <hyperlink ref="T8" r:id="rId4" location="cfn-ec2-vpcgatewayattachment-vpngatewayid" tooltip="http://docs.aws.amazon.com/AWSCloudFormation/latest/UserGuide/aws-resource-ec2-vpc-gateway-attachment.html#cfn-ec2-vpcgatewayattachment-vpngatewayid" xr:uid="{442A6633-3776-4D88-9869-5ACA6971D6E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03EB-7909-4C05-B92B-2AE06D27301F}">
  <sheetPr codeName="Sheet8"/>
  <dimension ref="A1:AA16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AA4" sqref="AA4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  <col min="23" max="27" width="20.625" style="8" customWidth="1"/>
  </cols>
  <sheetData>
    <row r="1" spans="1:27">
      <c r="A1" s="14" t="s">
        <v>150</v>
      </c>
    </row>
    <row r="2" spans="1:27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9">
        <f t="shared" ref="B3:B16" si="1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296</v>
      </c>
      <c r="W3" s="9" t="s">
        <v>298</v>
      </c>
      <c r="X3" s="9" t="s">
        <v>300</v>
      </c>
      <c r="Y3" s="9" t="s">
        <v>302</v>
      </c>
      <c r="Z3" s="9" t="s">
        <v>304</v>
      </c>
      <c r="AA3" s="9" t="s">
        <v>306</v>
      </c>
    </row>
    <row r="4" spans="1:27">
      <c r="B4" s="9">
        <f t="shared" si="1"/>
        <v>2</v>
      </c>
      <c r="C4" s="19"/>
      <c r="D4" s="25"/>
      <c r="E4" s="20" t="s">
        <v>173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  <c r="X4" s="24"/>
      <c r="Y4" s="24"/>
      <c r="Z4" s="24"/>
      <c r="AA4" s="24"/>
    </row>
    <row r="5" spans="1:27">
      <c r="B5" s="9">
        <f t="shared" si="1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  <c r="X5" s="24"/>
      <c r="Y5" s="24"/>
      <c r="Z5" s="24"/>
      <c r="AA5" s="24"/>
    </row>
    <row r="6" spans="1:27">
      <c r="B6" s="9">
        <f t="shared" si="1"/>
        <v>4</v>
      </c>
      <c r="C6" s="19"/>
      <c r="D6" s="25"/>
      <c r="E6" s="20"/>
      <c r="F6" s="15" t="s">
        <v>174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159</v>
      </c>
      <c r="T6" s="18" t="s">
        <v>156</v>
      </c>
      <c r="U6" s="9"/>
      <c r="V6" s="9"/>
      <c r="W6" s="9"/>
      <c r="X6" s="9"/>
      <c r="Y6" s="9"/>
      <c r="Z6" s="9"/>
      <c r="AA6" s="9"/>
    </row>
    <row r="7" spans="1:27">
      <c r="B7" s="9">
        <f t="shared" si="1"/>
        <v>5</v>
      </c>
      <c r="C7" s="19"/>
      <c r="D7" s="25"/>
      <c r="E7" s="20"/>
      <c r="F7" s="15" t="s">
        <v>175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 t="s">
        <v>285</v>
      </c>
      <c r="W7" s="9" t="s">
        <v>286</v>
      </c>
      <c r="X7" s="9" t="s">
        <v>287</v>
      </c>
      <c r="Y7" s="9" t="s">
        <v>285</v>
      </c>
      <c r="Z7" s="9" t="s">
        <v>286</v>
      </c>
      <c r="AA7" s="9" t="s">
        <v>287</v>
      </c>
    </row>
    <row r="8" spans="1:27">
      <c r="B8" s="9">
        <f t="shared" si="1"/>
        <v>6</v>
      </c>
      <c r="C8" s="19"/>
      <c r="D8" s="25"/>
      <c r="E8" s="20"/>
      <c r="F8" s="15" t="s">
        <v>157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 t="s">
        <v>288</v>
      </c>
      <c r="W8" s="9" t="s">
        <v>289</v>
      </c>
      <c r="X8" s="9" t="s">
        <v>290</v>
      </c>
      <c r="Y8" s="9" t="s">
        <v>291</v>
      </c>
      <c r="Z8" s="9" t="s">
        <v>292</v>
      </c>
      <c r="AA8" s="9" t="s">
        <v>293</v>
      </c>
    </row>
    <row r="9" spans="1:27">
      <c r="B9" s="9">
        <f t="shared" si="1"/>
        <v>7</v>
      </c>
      <c r="C9" s="19"/>
      <c r="D9" s="25"/>
      <c r="E9" s="20"/>
      <c r="F9" s="15" t="s">
        <v>176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/>
      <c r="W9" s="9"/>
      <c r="X9" s="9"/>
      <c r="Y9" s="9"/>
      <c r="Z9" s="9"/>
      <c r="AA9" s="9"/>
    </row>
    <row r="10" spans="1:27">
      <c r="B10" s="9">
        <f t="shared" si="1"/>
        <v>8</v>
      </c>
      <c r="C10" s="19"/>
      <c r="D10" s="25"/>
      <c r="E10" s="20"/>
      <c r="F10" s="15" t="s">
        <v>177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159</v>
      </c>
      <c r="T10" s="18" t="s">
        <v>156</v>
      </c>
      <c r="U10" s="9"/>
      <c r="V10" s="9"/>
      <c r="W10" s="9"/>
      <c r="X10" s="9"/>
      <c r="Y10" s="9"/>
      <c r="Z10" s="9"/>
      <c r="AA10" s="9"/>
    </row>
    <row r="11" spans="1:27">
      <c r="B11" s="9">
        <f t="shared" si="1"/>
        <v>9</v>
      </c>
      <c r="C11" s="19"/>
      <c r="D11" s="25"/>
      <c r="E11" s="20"/>
      <c r="F11" s="26" t="s">
        <v>2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7"/>
      <c r="S11" s="28" t="s">
        <v>155</v>
      </c>
      <c r="T11" s="29" t="s">
        <v>156</v>
      </c>
      <c r="U11" s="30"/>
      <c r="V11" s="30"/>
      <c r="W11" s="30"/>
      <c r="X11" s="30"/>
      <c r="Y11" s="30"/>
      <c r="Z11" s="30"/>
      <c r="AA11" s="30"/>
    </row>
    <row r="12" spans="1:27">
      <c r="B12" s="9">
        <f t="shared" si="1"/>
        <v>10</v>
      </c>
      <c r="C12" s="19"/>
      <c r="D12" s="25"/>
      <c r="E12" s="20"/>
      <c r="F12" s="26"/>
      <c r="G12" s="31" t="s">
        <v>162</v>
      </c>
      <c r="H12" s="15" t="s">
        <v>163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/>
      <c r="W12" s="9"/>
      <c r="X12" s="9"/>
      <c r="Y12" s="9"/>
      <c r="Z12" s="9"/>
      <c r="AA12" s="9"/>
    </row>
    <row r="13" spans="1:27">
      <c r="B13" s="9">
        <f t="shared" si="1"/>
        <v>11</v>
      </c>
      <c r="C13" s="19"/>
      <c r="D13" s="25"/>
      <c r="E13" s="20"/>
      <c r="F13" s="26"/>
      <c r="G13" s="15"/>
      <c r="H13" s="15" t="s">
        <v>71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/>
      <c r="W13" s="9"/>
      <c r="X13" s="9"/>
      <c r="Y13" s="9"/>
      <c r="Z13" s="9"/>
      <c r="AA13" s="9"/>
    </row>
    <row r="14" spans="1:27">
      <c r="B14" s="9">
        <f t="shared" si="1"/>
        <v>12</v>
      </c>
      <c r="C14" s="19"/>
      <c r="D14" s="25"/>
      <c r="E14" s="20"/>
      <c r="F14" s="26"/>
      <c r="G14" s="31" t="s">
        <v>162</v>
      </c>
      <c r="H14" s="15" t="s">
        <v>163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152</v>
      </c>
      <c r="T14" s="18" t="s">
        <v>156</v>
      </c>
      <c r="U14" s="9"/>
      <c r="V14" s="9"/>
      <c r="W14" s="9"/>
      <c r="X14" s="9"/>
      <c r="Y14" s="9"/>
      <c r="Z14" s="9"/>
      <c r="AA14" s="9"/>
    </row>
    <row r="15" spans="1:27">
      <c r="B15" s="9">
        <f t="shared" si="1"/>
        <v>13</v>
      </c>
      <c r="C15" s="19"/>
      <c r="D15" s="25"/>
      <c r="E15" s="20"/>
      <c r="F15" s="26"/>
      <c r="G15" s="15"/>
      <c r="H15" s="15" t="s">
        <v>71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9" t="s">
        <v>152</v>
      </c>
      <c r="T15" s="18" t="s">
        <v>156</v>
      </c>
      <c r="U15" s="9"/>
      <c r="V15" s="9"/>
      <c r="W15" s="9"/>
      <c r="X15" s="9"/>
      <c r="Y15" s="9"/>
      <c r="Z15" s="9"/>
      <c r="AA15" s="9"/>
    </row>
    <row r="16" spans="1:27">
      <c r="B16" s="9">
        <f t="shared" si="1"/>
        <v>14</v>
      </c>
      <c r="C16" s="19"/>
      <c r="D16" s="25"/>
      <c r="E16" s="20"/>
      <c r="F16" s="15" t="s">
        <v>170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9" t="s">
        <v>152</v>
      </c>
      <c r="T16" s="18" t="s">
        <v>156</v>
      </c>
      <c r="U16" s="9"/>
      <c r="V16" s="9" t="str">
        <f>VPC!$V$3</f>
        <v>miari-VPC</v>
      </c>
      <c r="W16" s="9" t="str">
        <f>VPC!$V$3</f>
        <v>miari-VPC</v>
      </c>
      <c r="X16" s="9" t="str">
        <f>VPC!$V$3</f>
        <v>miari-VPC</v>
      </c>
      <c r="Y16" s="9" t="str">
        <f>VPC!$V$3</f>
        <v>miari-VPC</v>
      </c>
      <c r="Z16" s="9" t="str">
        <f>VPC!$V$3</f>
        <v>miari-VPC</v>
      </c>
      <c r="AA16" s="9" t="str">
        <f>VPC!$V$3</f>
        <v>miari-VPC</v>
      </c>
    </row>
  </sheetData>
  <phoneticPr fontId="1"/>
  <hyperlinks>
    <hyperlink ref="T4" r:id="rId1" tooltip="http://docs.aws.amazon.com/AWSCloudFormation/latest/UserGuide/aws-resource-ec2-subnet.html" xr:uid="{4723F656-96CD-4743-8691-E65A0BE899E4}"/>
    <hyperlink ref="T6" r:id="rId2" location="cfn-ec2-subnet-assignipv6addressoncreation" tooltip="http://docs.aws.amazon.com/AWSCloudFormation/latest/UserGuide/aws-resource-ec2-subnet.html#cfn-ec2-subnet-assignipv6addressoncreation" xr:uid="{2653E0EC-1B17-4BA5-ACF0-BCA570579467}"/>
    <hyperlink ref="T7" r:id="rId3" location="cfn-ec2-subnet-availabilityzone" tooltip="http://docs.aws.amazon.com/AWSCloudFormation/latest/UserGuide/aws-resource-ec2-subnet.html#cfn-ec2-subnet-availabilityzone" xr:uid="{E78E3402-915F-43FC-986C-83EA12D0FE3E}"/>
    <hyperlink ref="T8" r:id="rId4" location="cfn-ec2-subnet-cidrblock" tooltip="http://docs.aws.amazon.com/AWSCloudFormation/latest/UserGuide/aws-resource-ec2-subnet.html#cfn-ec2-subnet-cidrblock" xr:uid="{7BF56AF0-D6D6-4335-8F28-4F1C4585D59E}"/>
    <hyperlink ref="T9" r:id="rId5" location="cfn-ec2-subnet-ipv6cidrblock" tooltip="http://docs.aws.amazon.com/AWSCloudFormation/latest/UserGuide/aws-resource-ec2-subnet.html#cfn-ec2-subnet-ipv6cidrblock" xr:uid="{3C561F2F-6EDB-4149-8AD7-DC5789C11D3C}"/>
    <hyperlink ref="T10" r:id="rId6" location="cfn-ec2-subnet-mappubliciponlaunch" tooltip="http://docs.aws.amazon.com/AWSCloudFormation/latest/UserGuide/aws-resource-ec2-subnet.html#cfn-ec2-subnet-mappubliciponlaunch" xr:uid="{36381814-D893-4E9A-920C-6C899678A9F1}"/>
    <hyperlink ref="T11" r:id="rId7" location="cfn-ec2-subnet-tags" tooltip="http://docs.aws.amazon.com/AWSCloudFormation/latest/UserGuide/aws-resource-ec2-subnet.html#cfn-ec2-subnet-tags" xr:uid="{F12F2F9D-D5C3-4AF7-AB91-AD28AD5C6CCA}"/>
    <hyperlink ref="T12" r:id="rId8" location="cfn-resource-tags-key" tooltip="http://docs.aws.amazon.com/AWSCloudFormation/latest/UserGuide/aws-properties-resource-tags.html#cfn-resource-tags-key" xr:uid="{ADD8F642-7AA2-4FAA-AC48-63A2AE37C55C}"/>
    <hyperlink ref="T13" r:id="rId9" location="cfn-resource-tags-value" tooltip="http://docs.aws.amazon.com/AWSCloudFormation/latest/UserGuide/aws-properties-resource-tags.html#cfn-resource-tags-value" xr:uid="{EDCC2C83-9D54-40E9-A4DF-89FA69740AA8}"/>
    <hyperlink ref="T14" r:id="rId10" location="cfn-resource-tags-key" tooltip="http://docs.aws.amazon.com/AWSCloudFormation/latest/UserGuide/aws-properties-resource-tags.html#cfn-resource-tags-key" xr:uid="{057615CF-B1D0-4ED9-991D-3E5F4BD6D129}"/>
    <hyperlink ref="T15" r:id="rId11" location="cfn-resource-tags-value" tooltip="http://docs.aws.amazon.com/AWSCloudFormation/latest/UserGuide/aws-properties-resource-tags.html#cfn-resource-tags-value" xr:uid="{C6135BE0-8C41-47DC-A8D8-33FE5D32DF47}"/>
    <hyperlink ref="T16" r:id="rId12" location="cfn-awsec2subnet-prop-vpcid" tooltip="http://docs.aws.amazon.com/AWSCloudFormation/latest/UserGuide/aws-resource-ec2-subnet.html#cfn-awsec2subnet-prop-vpcid" xr:uid="{5D09219D-59D9-4F7D-9DB7-D9AE18508FF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9A01A-E5D3-4C8A-B119-1AB86C4166B6}">
  <sheetPr codeName="Sheet9"/>
  <dimension ref="A1:Y1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X17" sqref="X17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  <col min="23" max="25" width="20.625" style="8" customWidth="1"/>
  </cols>
  <sheetData>
    <row r="1" spans="1:25">
      <c r="A1" s="14" t="s">
        <v>150</v>
      </c>
    </row>
    <row r="2" spans="1:25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>"Value" &amp; COLUMN() -  21</f>
        <v>Value2</v>
      </c>
      <c r="X2" s="7" t="str">
        <f t="shared" ref="X2:Y2" si="0">"Value" &amp; COLUMN() -  21</f>
        <v>Value3</v>
      </c>
      <c r="Y2" s="7" t="str">
        <f t="shared" si="0"/>
        <v>Value4</v>
      </c>
    </row>
    <row r="3" spans="1:25">
      <c r="B3" s="9">
        <f t="shared" ref="B3:B11" si="1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308</v>
      </c>
      <c r="W3" s="9" t="s">
        <v>310</v>
      </c>
      <c r="X3" s="9" t="s">
        <v>312</v>
      </c>
      <c r="Y3" s="9" t="s">
        <v>314</v>
      </c>
    </row>
    <row r="4" spans="1:25">
      <c r="B4" s="9">
        <f t="shared" si="1"/>
        <v>2</v>
      </c>
      <c r="C4" s="19"/>
      <c r="D4" s="25"/>
      <c r="E4" s="20" t="s">
        <v>294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  <c r="X4" s="24"/>
      <c r="Y4" s="24"/>
    </row>
    <row r="5" spans="1:25">
      <c r="B5" s="9">
        <f t="shared" si="1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  <c r="X5" s="24"/>
      <c r="Y5" s="24"/>
    </row>
    <row r="6" spans="1:25">
      <c r="B6" s="9">
        <f t="shared" si="1"/>
        <v>4</v>
      </c>
      <c r="C6" s="19"/>
      <c r="D6" s="25"/>
      <c r="E6" s="20"/>
      <c r="F6" s="26" t="s">
        <v>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7"/>
      <c r="S6" s="28" t="s">
        <v>155</v>
      </c>
      <c r="T6" s="29" t="s">
        <v>156</v>
      </c>
      <c r="U6" s="30"/>
      <c r="V6" s="30"/>
      <c r="W6" s="30"/>
      <c r="X6" s="30"/>
      <c r="Y6" s="30"/>
    </row>
    <row r="7" spans="1:25">
      <c r="B7" s="9">
        <f t="shared" si="1"/>
        <v>5</v>
      </c>
      <c r="C7" s="19"/>
      <c r="D7" s="25"/>
      <c r="E7" s="20"/>
      <c r="F7" s="26"/>
      <c r="G7" s="31" t="s">
        <v>162</v>
      </c>
      <c r="H7" s="15" t="s">
        <v>163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  <c r="W7" s="9"/>
      <c r="X7" s="9"/>
      <c r="Y7" s="9"/>
    </row>
    <row r="8" spans="1:25">
      <c r="B8" s="9">
        <f t="shared" si="1"/>
        <v>6</v>
      </c>
      <c r="C8" s="19"/>
      <c r="D8" s="25"/>
      <c r="E8" s="20"/>
      <c r="F8" s="26"/>
      <c r="G8" s="15"/>
      <c r="H8" s="15" t="s">
        <v>71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  <c r="W8" s="9"/>
      <c r="X8" s="9"/>
      <c r="Y8" s="9"/>
    </row>
    <row r="9" spans="1:25">
      <c r="B9" s="9">
        <f t="shared" si="1"/>
        <v>7</v>
      </c>
      <c r="C9" s="19"/>
      <c r="D9" s="25"/>
      <c r="E9" s="20"/>
      <c r="F9" s="26"/>
      <c r="G9" s="31" t="s">
        <v>162</v>
      </c>
      <c r="H9" s="15" t="s">
        <v>163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/>
      <c r="W9" s="9"/>
      <c r="X9" s="9"/>
      <c r="Y9" s="9"/>
    </row>
    <row r="10" spans="1:25">
      <c r="B10" s="9">
        <f t="shared" si="1"/>
        <v>8</v>
      </c>
      <c r="C10" s="19"/>
      <c r="D10" s="25"/>
      <c r="E10" s="20"/>
      <c r="F10" s="26"/>
      <c r="G10" s="15"/>
      <c r="H10" s="15" t="s">
        <v>71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  <c r="W10" s="9"/>
      <c r="X10" s="9"/>
      <c r="Y10" s="9"/>
    </row>
    <row r="11" spans="1:25">
      <c r="B11" s="9">
        <f t="shared" si="1"/>
        <v>9</v>
      </c>
      <c r="C11" s="19"/>
      <c r="D11" s="25"/>
      <c r="E11" s="20"/>
      <c r="F11" s="15" t="s">
        <v>170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 t="str">
        <f>VPC!$V$3</f>
        <v>miari-VPC</v>
      </c>
      <c r="W11" s="9" t="str">
        <f>VPC!$V$3</f>
        <v>miari-VPC</v>
      </c>
      <c r="X11" s="9" t="str">
        <f>VPC!$V$3</f>
        <v>miari-VPC</v>
      </c>
      <c r="Y11" s="9" t="str">
        <f>VPC!$V$3</f>
        <v>miari-VPC</v>
      </c>
    </row>
  </sheetData>
  <phoneticPr fontId="1"/>
  <hyperlinks>
    <hyperlink ref="T4" r:id="rId1" tooltip="http://docs.aws.amazon.com/AWSCloudFormation/latest/UserGuide/aws-resource-ec2-route-table.html" xr:uid="{967912F5-2302-4A56-8626-5D314FD68365}"/>
    <hyperlink ref="T6" r:id="rId2" location="cfn-ec2-routetable-tags" tooltip="http://docs.aws.amazon.com/AWSCloudFormation/latest/UserGuide/aws-resource-ec2-route-table.html#cfn-ec2-routetable-tags" xr:uid="{0C128FC1-8BE7-4800-99ED-04920105A3EB}"/>
    <hyperlink ref="T7" r:id="rId3" location="cfn-resource-tags-key" tooltip="http://docs.aws.amazon.com/AWSCloudFormation/latest/UserGuide/aws-properties-resource-tags.html#cfn-resource-tags-key" xr:uid="{FA02ABEE-8A7E-41E6-BAEA-C2C6825CD4BE}"/>
    <hyperlink ref="T8" r:id="rId4" location="cfn-resource-tags-value" tooltip="http://docs.aws.amazon.com/AWSCloudFormation/latest/UserGuide/aws-properties-resource-tags.html#cfn-resource-tags-value" xr:uid="{EF17EDD1-03E4-463B-8C63-91E50BF4039D}"/>
    <hyperlink ref="T9" r:id="rId5" location="cfn-resource-tags-key" tooltip="http://docs.aws.amazon.com/AWSCloudFormation/latest/UserGuide/aws-properties-resource-tags.html#cfn-resource-tags-key" xr:uid="{509A9265-A284-4310-9FC0-54C1F4843EF5}"/>
    <hyperlink ref="T10" r:id="rId6" location="cfn-resource-tags-value" tooltip="http://docs.aws.amazon.com/AWSCloudFormation/latest/UserGuide/aws-properties-resource-tags.html#cfn-resource-tags-value" xr:uid="{2FDAABA0-F763-4407-A94F-B23DE5B2C4B1}"/>
    <hyperlink ref="T11" r:id="rId7" location="cfn-ec2-routetable-vpcid" tooltip="http://docs.aws.amazon.com/AWSCloudFormation/latest/UserGuide/aws-resource-ec2-route-table.html#cfn-ec2-routetable-vpcid" xr:uid="{68A039CB-6079-47FB-8F60-E5997327087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B6B61-493C-40A5-B000-801DEA696046}">
  <sheetPr codeName="Sheet10"/>
  <dimension ref="A1:V15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V14" sqref="V14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15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315</v>
      </c>
    </row>
    <row r="4" spans="1:22">
      <c r="B4" s="9">
        <f t="shared" si="0"/>
        <v>2</v>
      </c>
      <c r="C4" s="19"/>
      <c r="D4" s="25"/>
      <c r="E4" s="20" t="s">
        <v>178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15" t="s">
        <v>179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">
        <v>316</v>
      </c>
    </row>
    <row r="7" spans="1:22">
      <c r="B7" s="9">
        <f t="shared" si="0"/>
        <v>5</v>
      </c>
      <c r="C7" s="19"/>
      <c r="D7" s="25"/>
      <c r="E7" s="20"/>
      <c r="F7" s="15" t="s">
        <v>180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</row>
    <row r="8" spans="1:22">
      <c r="B8" s="9">
        <f t="shared" si="0"/>
        <v>6</v>
      </c>
      <c r="C8" s="19"/>
      <c r="D8" s="25"/>
      <c r="E8" s="20"/>
      <c r="F8" s="15" t="s">
        <v>181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</row>
    <row r="9" spans="1:22">
      <c r="B9" s="9">
        <f t="shared" si="0"/>
        <v>7</v>
      </c>
      <c r="C9" s="19"/>
      <c r="D9" s="25"/>
      <c r="E9" s="20"/>
      <c r="F9" s="15" t="s">
        <v>182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 t="str">
        <f>InternetGateway!V3</f>
        <v>mirai-InternetGateway</v>
      </c>
    </row>
    <row r="10" spans="1:22">
      <c r="B10" s="9">
        <f t="shared" si="0"/>
        <v>8</v>
      </c>
      <c r="C10" s="19"/>
      <c r="D10" s="25"/>
      <c r="E10" s="20"/>
      <c r="F10" s="15" t="s">
        <v>183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</row>
    <row r="11" spans="1:22">
      <c r="B11" s="9">
        <f t="shared" si="0"/>
        <v>9</v>
      </c>
      <c r="C11" s="19"/>
      <c r="D11" s="25"/>
      <c r="E11" s="20"/>
      <c r="F11" s="15" t="s">
        <v>184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/>
    </row>
    <row r="12" spans="1:22">
      <c r="B12" s="9">
        <f t="shared" si="0"/>
        <v>10</v>
      </c>
      <c r="C12" s="19"/>
      <c r="D12" s="25"/>
      <c r="E12" s="20"/>
      <c r="F12" s="15" t="s">
        <v>185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/>
    </row>
    <row r="13" spans="1:22">
      <c r="B13" s="9">
        <f t="shared" si="0"/>
        <v>11</v>
      </c>
      <c r="C13" s="19"/>
      <c r="D13" s="25"/>
      <c r="E13" s="20"/>
      <c r="F13" s="15" t="s">
        <v>186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 t="str">
        <f>RouteTable!Y3</f>
        <v>mirai-RouteTable-Public</v>
      </c>
    </row>
    <row r="14" spans="1:22">
      <c r="B14" s="9">
        <f t="shared" si="0"/>
        <v>12</v>
      </c>
      <c r="C14" s="19"/>
      <c r="D14" s="25"/>
      <c r="E14" s="20"/>
      <c r="F14" s="15" t="s">
        <v>187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152</v>
      </c>
      <c r="T14" s="18" t="s">
        <v>156</v>
      </c>
      <c r="U14" s="9"/>
      <c r="V14" s="9"/>
    </row>
    <row r="15" spans="1:22">
      <c r="B15" s="9">
        <f t="shared" si="0"/>
        <v>13</v>
      </c>
      <c r="C15" s="19"/>
      <c r="D15" s="25"/>
      <c r="E15" s="20"/>
      <c r="F15" s="15" t="s">
        <v>188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9" t="s">
        <v>152</v>
      </c>
      <c r="T15" s="18" t="s">
        <v>156</v>
      </c>
      <c r="U15" s="9"/>
      <c r="V15" s="9"/>
    </row>
  </sheetData>
  <phoneticPr fontId="1"/>
  <hyperlinks>
    <hyperlink ref="T4" r:id="rId1" tooltip="http://docs.aws.amazon.com/AWSCloudFormation/latest/UserGuide/aws-resource-ec2-route.html" xr:uid="{B118E7C8-8509-4A47-8EB3-6CA7ADAB8AEC}"/>
    <hyperlink ref="T6" r:id="rId2" location="cfn-ec2-route-destinationcidrblock" tooltip="http://docs.aws.amazon.com/AWSCloudFormation/latest/UserGuide/aws-resource-ec2-route.html#cfn-ec2-route-destinationcidrblock" xr:uid="{A1514C82-6260-45BC-A635-673542FF0B31}"/>
    <hyperlink ref="T7" r:id="rId3" location="cfn-ec2-route-destinationipv6cidrblock" tooltip="http://docs.aws.amazon.com/AWSCloudFormation/latest/UserGuide/aws-resource-ec2-route.html#cfn-ec2-route-destinationipv6cidrblock" xr:uid="{3309D85B-4C06-47D3-94CC-C841C085F338}"/>
    <hyperlink ref="T8" r:id="rId4" location="cfn-ec2-route-egressonlyinternetgatewayid" tooltip="http://docs.aws.amazon.com/AWSCloudFormation/latest/UserGuide/aws-resource-ec2-route.html#cfn-ec2-route-egressonlyinternetgatewayid" xr:uid="{602A6C0B-AC30-4FCE-8C52-E577BF381B60}"/>
    <hyperlink ref="T9" r:id="rId5" location="cfn-ec2-route-gatewayid" tooltip="http://docs.aws.amazon.com/AWSCloudFormation/latest/UserGuide/aws-resource-ec2-route.html#cfn-ec2-route-gatewayid" xr:uid="{8334EE0B-8497-4659-9CBC-A4BC5E3F670F}"/>
    <hyperlink ref="T10" r:id="rId6" location="cfn-ec2-route-instanceid" tooltip="http://docs.aws.amazon.com/AWSCloudFormation/latest/UserGuide/aws-resource-ec2-route.html#cfn-ec2-route-instanceid" xr:uid="{D5C68681-EF90-4676-8F9D-C296AE75ECCE}"/>
    <hyperlink ref="T11" r:id="rId7" location="cfn-ec2-route-natgatewayid" tooltip="http://docs.aws.amazon.com/AWSCloudFormation/latest/UserGuide/aws-resource-ec2-route.html#cfn-ec2-route-natgatewayid" xr:uid="{15F0D70C-55FA-44AA-A333-B411FBAEF804}"/>
    <hyperlink ref="T12" r:id="rId8" location="cfn-ec2-route-networkinterfaceid" tooltip="http://docs.aws.amazon.com/AWSCloudFormation/latest/UserGuide/aws-resource-ec2-route.html#cfn-ec2-route-networkinterfaceid" xr:uid="{83BE07B7-D414-4785-8B8F-1A2915DC789B}"/>
    <hyperlink ref="T13" r:id="rId9" location="cfn-ec2-route-routetableid" tooltip="http://docs.aws.amazon.com/AWSCloudFormation/latest/UserGuide/aws-resource-ec2-route.html#cfn-ec2-route-routetableid" xr:uid="{5F7F07AA-C058-4759-97B7-B79AA1F67072}"/>
    <hyperlink ref="T14" r:id="rId10" location="cfn-ec2-route-transitgatewayid" tooltip="http://docs.aws.amazon.com/AWSCloudFormation/latest/UserGuide/aws-resource-ec2-route.html#cfn-ec2-route-transitgatewayid" xr:uid="{6A4C0A3A-13A5-4FA9-8BCF-21DD0030E519}"/>
    <hyperlink ref="T15" r:id="rId11" location="cfn-ec2-route-vpcpeeringconnectionid" tooltip="http://docs.aws.amazon.com/AWSCloudFormation/latest/UserGuide/aws-resource-ec2-route.html#cfn-ec2-route-vpcpeeringconnectionid" xr:uid="{2A4729F4-30F0-4B2E-A4DE-BA6D4089A2B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336A0-9E68-4B1F-BE15-3C95A9BB24E6}">
  <sheetPr codeName="Sheet11"/>
  <dimension ref="A1:AA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R22" sqref="R2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  <col min="23" max="27" width="20.625" style="8" customWidth="1"/>
  </cols>
  <sheetData>
    <row r="1" spans="1:27">
      <c r="A1" s="14" t="s">
        <v>150</v>
      </c>
    </row>
    <row r="2" spans="1:27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9">
        <f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317</v>
      </c>
      <c r="W3" s="9" t="s">
        <v>318</v>
      </c>
      <c r="X3" s="9" t="s">
        <v>319</v>
      </c>
      <c r="Y3" s="9" t="s">
        <v>320</v>
      </c>
      <c r="Z3" s="9" t="s">
        <v>321</v>
      </c>
      <c r="AA3" s="9" t="s">
        <v>322</v>
      </c>
    </row>
    <row r="4" spans="1:27">
      <c r="B4" s="9">
        <f>ROW()-2</f>
        <v>2</v>
      </c>
      <c r="C4" s="19"/>
      <c r="D4" s="25"/>
      <c r="E4" s="20" t="s">
        <v>189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  <c r="X4" s="24"/>
      <c r="Y4" s="24"/>
      <c r="Z4" s="24"/>
      <c r="AA4" s="24"/>
    </row>
    <row r="5" spans="1:27">
      <c r="B5" s="9">
        <f>ROW()-2</f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  <c r="X5" s="24"/>
      <c r="Y5" s="24"/>
      <c r="Z5" s="24"/>
      <c r="AA5" s="24"/>
    </row>
    <row r="6" spans="1:27">
      <c r="B6" s="9">
        <f>ROW()-2</f>
        <v>4</v>
      </c>
      <c r="C6" s="19"/>
      <c r="D6" s="25"/>
      <c r="E6" s="20"/>
      <c r="F6" s="15" t="s">
        <v>186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tr">
        <f>RouteTable!V3</f>
        <v>mirai-RouteTable-Private-1a</v>
      </c>
      <c r="W6" s="9" t="str">
        <f>RouteTable!W3</f>
        <v>mirai-RouteTable-Private-1d</v>
      </c>
      <c r="X6" s="9" t="str">
        <f>RouteTable!X3</f>
        <v>mirai-RouteTable-Private-1c</v>
      </c>
      <c r="Y6" s="9" t="str">
        <f>RouteTable!$Y$3</f>
        <v>mirai-RouteTable-Public</v>
      </c>
      <c r="Z6" s="9" t="str">
        <f>RouteTable!$Y$3</f>
        <v>mirai-RouteTable-Public</v>
      </c>
      <c r="AA6" s="9" t="str">
        <f>RouteTable!$Y$3</f>
        <v>mirai-RouteTable-Public</v>
      </c>
    </row>
    <row r="7" spans="1:27">
      <c r="B7" s="9">
        <f>ROW()-2</f>
        <v>5</v>
      </c>
      <c r="C7" s="19"/>
      <c r="D7" s="25"/>
      <c r="E7" s="20"/>
      <c r="F7" s="15" t="s">
        <v>190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 t="str">
        <f>Subnet!V3</f>
        <v>mirai-Subnet-Private-1a</v>
      </c>
      <c r="W7" s="9" t="str">
        <f>Subnet!W3</f>
        <v>mirai-Subnet-Private-1d</v>
      </c>
      <c r="X7" s="9" t="str">
        <f>Subnet!X3</f>
        <v>mirai-Subnet-Private-1c</v>
      </c>
      <c r="Y7" s="9" t="str">
        <f>Subnet!Y3</f>
        <v>mirai-Subnet-Public-1a</v>
      </c>
      <c r="Z7" s="9" t="str">
        <f>Subnet!Z3</f>
        <v>mirai-Subnet-Public-1d</v>
      </c>
      <c r="AA7" s="9" t="str">
        <f>Subnet!AA3</f>
        <v>mirai-Subnet-Public-1c</v>
      </c>
    </row>
  </sheetData>
  <phoneticPr fontId="1"/>
  <hyperlinks>
    <hyperlink ref="T4" r:id="rId1" tooltip="http://docs.aws.amazon.com/AWSCloudFormation/latest/UserGuide/aws-resource-ec2-subnet-route-table-assoc.html" xr:uid="{329E3595-627E-456C-8CAE-61577538814E}"/>
    <hyperlink ref="T6" r:id="rId2" location="cfn-ec2-subnetroutetableassociation-routetableid" tooltip="http://docs.aws.amazon.com/AWSCloudFormation/latest/UserGuide/aws-resource-ec2-subnet-route-table-assoc.html#cfn-ec2-subnetroutetableassociation-routetableid" xr:uid="{F6A873AB-6010-451E-8E17-9C5ABFA9BDC9}"/>
    <hyperlink ref="T7" r:id="rId3" location="cfn-ec2-subnetroutetableassociation-subnetid" tooltip="http://docs.aws.amazon.com/AWSCloudFormation/latest/UserGuide/aws-resource-ec2-subnet-route-table-assoc.html#cfn-ec2-subnetroutetableassociation-subnetid" xr:uid="{5EA8224D-604A-4D72-BF3F-62D18DBD189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CE51F-B811-4EC3-9CF7-6FD9FAB19DB0}">
  <sheetPr codeName="Sheet14"/>
  <dimension ref="A1:W11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16" sqref="W16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  <col min="23" max="23" width="20.625" style="8" customWidth="1"/>
  </cols>
  <sheetData>
    <row r="1" spans="1:23">
      <c r="A1" s="14" t="s">
        <v>150</v>
      </c>
    </row>
    <row r="2" spans="1:23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>"Value" &amp; COLUMN() -  21</f>
        <v>Value2</v>
      </c>
    </row>
    <row r="3" spans="1:23">
      <c r="B3" s="9">
        <f t="shared" ref="B3:B11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349</v>
      </c>
      <c r="W3" s="9" t="s">
        <v>351</v>
      </c>
    </row>
    <row r="4" spans="1:23">
      <c r="B4" s="9">
        <f t="shared" si="0"/>
        <v>2</v>
      </c>
      <c r="C4" s="19"/>
      <c r="D4" s="25"/>
      <c r="E4" s="20" t="s">
        <v>208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</row>
    <row r="5" spans="1:23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</row>
    <row r="6" spans="1:23">
      <c r="B6" s="9">
        <f t="shared" si="0"/>
        <v>4</v>
      </c>
      <c r="C6" s="19"/>
      <c r="D6" s="25"/>
      <c r="E6" s="20"/>
      <c r="F6" s="26" t="s">
        <v>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7"/>
      <c r="S6" s="28" t="s">
        <v>155</v>
      </c>
      <c r="T6" s="29" t="s">
        <v>156</v>
      </c>
      <c r="U6" s="30"/>
      <c r="V6" s="30"/>
      <c r="W6" s="30"/>
    </row>
    <row r="7" spans="1:23">
      <c r="B7" s="9">
        <f t="shared" si="0"/>
        <v>5</v>
      </c>
      <c r="C7" s="19"/>
      <c r="D7" s="25"/>
      <c r="E7" s="20"/>
      <c r="F7" s="26"/>
      <c r="G7" s="31" t="s">
        <v>162</v>
      </c>
      <c r="H7" s="15" t="s">
        <v>163</v>
      </c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  <c r="W7" s="9"/>
    </row>
    <row r="8" spans="1:23">
      <c r="B8" s="9">
        <f t="shared" si="0"/>
        <v>6</v>
      </c>
      <c r="C8" s="19"/>
      <c r="D8" s="25"/>
      <c r="E8" s="20"/>
      <c r="F8" s="26"/>
      <c r="G8" s="15"/>
      <c r="H8" s="15" t="s">
        <v>71</v>
      </c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  <c r="W8" s="9"/>
    </row>
    <row r="9" spans="1:23">
      <c r="B9" s="9">
        <f t="shared" si="0"/>
        <v>7</v>
      </c>
      <c r="C9" s="19"/>
      <c r="D9" s="25"/>
      <c r="E9" s="20"/>
      <c r="F9" s="26"/>
      <c r="G9" s="31" t="s">
        <v>162</v>
      </c>
      <c r="H9" s="15" t="s">
        <v>163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/>
      <c r="W9" s="9"/>
    </row>
    <row r="10" spans="1:23">
      <c r="B10" s="9">
        <f t="shared" si="0"/>
        <v>8</v>
      </c>
      <c r="C10" s="19"/>
      <c r="D10" s="25"/>
      <c r="E10" s="20"/>
      <c r="F10" s="26"/>
      <c r="G10" s="15"/>
      <c r="H10" s="15" t="s">
        <v>71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  <c r="W10" s="9"/>
    </row>
    <row r="11" spans="1:23">
      <c r="B11" s="9">
        <f t="shared" si="0"/>
        <v>9</v>
      </c>
      <c r="C11" s="19"/>
      <c r="D11" s="25"/>
      <c r="E11" s="20"/>
      <c r="F11" s="15" t="s">
        <v>170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 t="str">
        <f>VPC!$V$3</f>
        <v>miari-VPC</v>
      </c>
      <c r="W11" s="9" t="str">
        <f>VPC!$V$3</f>
        <v>miari-VPC</v>
      </c>
    </row>
  </sheetData>
  <phoneticPr fontId="1"/>
  <hyperlinks>
    <hyperlink ref="T4" r:id="rId1" tooltip="http://docs.aws.amazon.com/AWSCloudFormation/latest/UserGuide/aws-resource-ec2-network-acl.html" xr:uid="{5F4DB3BC-6D59-4AC3-80ED-7FF9F5C115BE}"/>
    <hyperlink ref="T6" r:id="rId2" location="cfn-ec2-networkacl-tags" tooltip="http://docs.aws.amazon.com/AWSCloudFormation/latest/UserGuide/aws-resource-ec2-network-acl.html#cfn-ec2-networkacl-tags" xr:uid="{F42FB649-41C8-4C7E-A97C-F13D4415541B}"/>
    <hyperlink ref="T7" r:id="rId3" location="cfn-resource-tags-key" tooltip="http://docs.aws.amazon.com/AWSCloudFormation/latest/UserGuide/aws-properties-resource-tags.html#cfn-resource-tags-key" xr:uid="{BF063A29-468F-488B-A18D-79FB3BCD03AA}"/>
    <hyperlink ref="T8" r:id="rId4" location="cfn-resource-tags-value" tooltip="http://docs.aws.amazon.com/AWSCloudFormation/latest/UserGuide/aws-properties-resource-tags.html#cfn-resource-tags-value" xr:uid="{49244DD4-B353-4045-B395-BE5FCDD5C67C}"/>
    <hyperlink ref="T9" r:id="rId5" location="cfn-resource-tags-key" tooltip="http://docs.aws.amazon.com/AWSCloudFormation/latest/UserGuide/aws-properties-resource-tags.html#cfn-resource-tags-key" xr:uid="{FE0F0193-3905-4134-AA3B-136B45B61FBB}"/>
    <hyperlink ref="T10" r:id="rId6" location="cfn-resource-tags-value" tooltip="http://docs.aws.amazon.com/AWSCloudFormation/latest/UserGuide/aws-properties-resource-tags.html#cfn-resource-tags-value" xr:uid="{6A73D471-54A8-4125-9CB4-A2A7F60D5C5C}"/>
    <hyperlink ref="T11" r:id="rId7" location="cfn-ec2-networkacl-vpcid" tooltip="http://docs.aws.amazon.com/AWSCloudFormation/latest/UserGuide/aws-resource-ec2-network-acl.html#cfn-ec2-networkacl-vpcid" xr:uid="{5BB99918-266D-4020-AF15-9D175CAC568E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3DB66-F92B-400D-B8C6-1F08D7828D9D}">
  <sheetPr codeName="Sheet15"/>
  <dimension ref="A1:Y18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22" sqref="W22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34" bestFit="1" customWidth="1"/>
    <col min="23" max="23" width="34" style="8" bestFit="1" customWidth="1"/>
    <col min="24" max="24" width="33.625" style="8" bestFit="1" customWidth="1"/>
    <col min="25" max="25" width="32.875" style="8" bestFit="1" customWidth="1"/>
  </cols>
  <sheetData>
    <row r="1" spans="1:25">
      <c r="A1" s="14" t="s">
        <v>150</v>
      </c>
    </row>
    <row r="2" spans="1:25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>"Value" &amp; COLUMN() -  21</f>
        <v>Value2</v>
      </c>
      <c r="X2" s="7" t="str">
        <f>"Value" &amp; COLUMN() -  21</f>
        <v>Value3</v>
      </c>
      <c r="Y2" s="7" t="str">
        <f>"Value" &amp; COLUMN() -  21</f>
        <v>Value4</v>
      </c>
    </row>
    <row r="3" spans="1:25">
      <c r="B3" s="9">
        <f t="shared" ref="B3:B18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377</v>
      </c>
      <c r="W3" s="9" t="s">
        <v>378</v>
      </c>
      <c r="X3" s="9" t="s">
        <v>379</v>
      </c>
      <c r="Y3" s="9" t="s">
        <v>380</v>
      </c>
    </row>
    <row r="4" spans="1:25">
      <c r="B4" s="9">
        <f t="shared" si="0"/>
        <v>2</v>
      </c>
      <c r="C4" s="19"/>
      <c r="D4" s="25"/>
      <c r="E4" s="20" t="s">
        <v>209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  <c r="X4" s="24"/>
      <c r="Y4" s="24"/>
    </row>
    <row r="5" spans="1:25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  <c r="X5" s="24"/>
      <c r="Y5" s="24"/>
    </row>
    <row r="6" spans="1:25">
      <c r="B6" s="9">
        <f t="shared" si="0"/>
        <v>4</v>
      </c>
      <c r="C6" s="19"/>
      <c r="D6" s="25"/>
      <c r="E6" s="20"/>
      <c r="F6" s="15" t="s">
        <v>157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">
        <v>316</v>
      </c>
      <c r="W6" s="9" t="s">
        <v>316</v>
      </c>
      <c r="X6" s="9" t="s">
        <v>316</v>
      </c>
      <c r="Y6" s="9" t="s">
        <v>316</v>
      </c>
    </row>
    <row r="7" spans="1:25">
      <c r="B7" s="9">
        <f t="shared" si="0"/>
        <v>5</v>
      </c>
      <c r="C7" s="19"/>
      <c r="D7" s="25"/>
      <c r="E7" s="20"/>
      <c r="F7" s="15" t="s">
        <v>210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159</v>
      </c>
      <c r="T7" s="18" t="s">
        <v>156</v>
      </c>
      <c r="U7" s="9"/>
      <c r="V7" s="17" t="s">
        <v>223</v>
      </c>
      <c r="W7" s="17" t="s">
        <v>352</v>
      </c>
      <c r="X7" s="17" t="s">
        <v>223</v>
      </c>
      <c r="Y7" s="17" t="s">
        <v>352</v>
      </c>
    </row>
    <row r="8" spans="1:25">
      <c r="B8" s="9">
        <f t="shared" si="0"/>
        <v>6</v>
      </c>
      <c r="C8" s="19"/>
      <c r="D8" s="25"/>
      <c r="E8" s="20"/>
      <c r="F8" s="26" t="s">
        <v>211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7"/>
      <c r="S8" s="28" t="s">
        <v>155</v>
      </c>
      <c r="T8" s="29" t="s">
        <v>156</v>
      </c>
      <c r="U8" s="30"/>
      <c r="V8" s="30"/>
      <c r="W8" s="30"/>
      <c r="X8" s="30"/>
      <c r="Y8" s="30"/>
    </row>
    <row r="9" spans="1:25">
      <c r="B9" s="9">
        <f t="shared" si="0"/>
        <v>7</v>
      </c>
      <c r="C9" s="19"/>
      <c r="D9" s="25"/>
      <c r="E9" s="20"/>
      <c r="F9" s="26"/>
      <c r="G9" s="15" t="s">
        <v>212</v>
      </c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172</v>
      </c>
      <c r="T9" s="18" t="s">
        <v>156</v>
      </c>
      <c r="U9" s="9"/>
      <c r="V9" s="9"/>
      <c r="W9" s="9"/>
      <c r="X9" s="9"/>
      <c r="Y9" s="9"/>
    </row>
    <row r="10" spans="1:25">
      <c r="B10" s="9">
        <f t="shared" si="0"/>
        <v>8</v>
      </c>
      <c r="C10" s="19"/>
      <c r="D10" s="25"/>
      <c r="E10" s="20"/>
      <c r="F10" s="26"/>
      <c r="G10" s="15" t="s">
        <v>213</v>
      </c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172</v>
      </c>
      <c r="T10" s="18" t="s">
        <v>156</v>
      </c>
      <c r="U10" s="9"/>
      <c r="V10" s="9"/>
      <c r="W10" s="9"/>
      <c r="X10" s="9"/>
      <c r="Y10" s="9"/>
    </row>
    <row r="11" spans="1:25">
      <c r="B11" s="9">
        <f t="shared" si="0"/>
        <v>9</v>
      </c>
      <c r="C11" s="19"/>
      <c r="D11" s="25"/>
      <c r="E11" s="20"/>
      <c r="F11" s="15" t="s">
        <v>176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/>
      <c r="W11" s="9"/>
      <c r="X11" s="9"/>
      <c r="Y11" s="9"/>
    </row>
    <row r="12" spans="1:25">
      <c r="B12" s="9">
        <f t="shared" si="0"/>
        <v>10</v>
      </c>
      <c r="C12" s="19"/>
      <c r="D12" s="25"/>
      <c r="E12" s="20"/>
      <c r="F12" s="15" t="s">
        <v>214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 t="str">
        <f>NetworkAcl!$V$3</f>
        <v>mirai-NetworkAcl-Private</v>
      </c>
      <c r="W12" s="9" t="str">
        <f>NetworkAcl!$V$3</f>
        <v>mirai-NetworkAcl-Private</v>
      </c>
      <c r="X12" s="9" t="str">
        <f>NetworkAcl!$W$3</f>
        <v>mirai-NetworkAcl-Public</v>
      </c>
      <c r="Y12" s="9" t="str">
        <f>NetworkAcl!$W$3</f>
        <v>mirai-NetworkAcl-Public</v>
      </c>
    </row>
    <row r="13" spans="1:25">
      <c r="B13" s="9">
        <f t="shared" si="0"/>
        <v>11</v>
      </c>
      <c r="C13" s="19"/>
      <c r="D13" s="25"/>
      <c r="E13" s="20"/>
      <c r="F13" s="26" t="s">
        <v>215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7"/>
      <c r="S13" s="28" t="s">
        <v>155</v>
      </c>
      <c r="T13" s="29" t="s">
        <v>156</v>
      </c>
      <c r="U13" s="30"/>
      <c r="V13" s="30"/>
      <c r="W13" s="30"/>
      <c r="X13" s="30"/>
      <c r="Y13" s="30"/>
    </row>
    <row r="14" spans="1:25">
      <c r="B14" s="9">
        <f t="shared" si="0"/>
        <v>12</v>
      </c>
      <c r="C14" s="19"/>
      <c r="D14" s="25"/>
      <c r="E14" s="20"/>
      <c r="F14" s="26"/>
      <c r="G14" s="15" t="s">
        <v>216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172</v>
      </c>
      <c r="T14" s="18" t="s">
        <v>156</v>
      </c>
      <c r="U14" s="9"/>
      <c r="V14" s="9"/>
      <c r="W14" s="9"/>
      <c r="X14" s="9"/>
      <c r="Y14" s="9"/>
    </row>
    <row r="15" spans="1:25">
      <c r="B15" s="9">
        <f t="shared" si="0"/>
        <v>13</v>
      </c>
      <c r="C15" s="19"/>
      <c r="D15" s="25"/>
      <c r="E15" s="20"/>
      <c r="F15" s="26"/>
      <c r="G15" s="15" t="s">
        <v>217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9" t="s">
        <v>172</v>
      </c>
      <c r="T15" s="18" t="s">
        <v>156</v>
      </c>
      <c r="U15" s="9"/>
      <c r="V15" s="9"/>
      <c r="W15" s="9"/>
      <c r="X15" s="9"/>
      <c r="Y15" s="9"/>
    </row>
    <row r="16" spans="1:25">
      <c r="B16" s="9">
        <f t="shared" si="0"/>
        <v>14</v>
      </c>
      <c r="C16" s="19"/>
      <c r="D16" s="25"/>
      <c r="E16" s="20"/>
      <c r="F16" s="15" t="s">
        <v>218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9" t="s">
        <v>172</v>
      </c>
      <c r="T16" s="18" t="s">
        <v>156</v>
      </c>
      <c r="U16" s="9"/>
      <c r="V16" s="9">
        <v>-1</v>
      </c>
      <c r="W16" s="9">
        <v>-1</v>
      </c>
      <c r="X16" s="9">
        <v>-1</v>
      </c>
      <c r="Y16" s="9">
        <v>-1</v>
      </c>
    </row>
    <row r="17" spans="2:25">
      <c r="B17" s="9">
        <f t="shared" si="0"/>
        <v>15</v>
      </c>
      <c r="C17" s="19"/>
      <c r="D17" s="25"/>
      <c r="E17" s="20"/>
      <c r="F17" s="15" t="s">
        <v>219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9" t="s">
        <v>152</v>
      </c>
      <c r="T17" s="18" t="s">
        <v>156</v>
      </c>
      <c r="U17" s="9"/>
      <c r="V17" s="9" t="s">
        <v>359</v>
      </c>
      <c r="W17" s="9" t="s">
        <v>359</v>
      </c>
      <c r="X17" s="9" t="s">
        <v>359</v>
      </c>
      <c r="Y17" s="9" t="s">
        <v>359</v>
      </c>
    </row>
    <row r="18" spans="2:25">
      <c r="B18" s="9">
        <f t="shared" si="0"/>
        <v>16</v>
      </c>
      <c r="C18" s="19"/>
      <c r="D18" s="25"/>
      <c r="E18" s="20"/>
      <c r="F18" s="15" t="s">
        <v>220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9" t="s">
        <v>172</v>
      </c>
      <c r="T18" s="18" t="s">
        <v>156</v>
      </c>
      <c r="U18" s="9"/>
      <c r="V18" s="9">
        <v>100</v>
      </c>
      <c r="W18" s="9">
        <v>100</v>
      </c>
      <c r="X18" s="9">
        <v>100</v>
      </c>
      <c r="Y18" s="9">
        <v>100</v>
      </c>
    </row>
  </sheetData>
  <phoneticPr fontId="1"/>
  <hyperlinks>
    <hyperlink ref="T4" r:id="rId1" tooltip="http://docs.aws.amazon.com/AWSCloudFormation/latest/UserGuide/aws-resource-ec2-network-acl-entry.html" xr:uid="{390C8C89-548C-402D-A080-2188302A09F9}"/>
    <hyperlink ref="T6" r:id="rId2" location="cfn-ec2-networkaclentry-cidrblock" tooltip="http://docs.aws.amazon.com/AWSCloudFormation/latest/UserGuide/aws-resource-ec2-network-acl-entry.html#cfn-ec2-networkaclentry-cidrblock" xr:uid="{E17C2AB8-3634-49FC-B117-2E2A91D1D6D6}"/>
    <hyperlink ref="T7" r:id="rId3" location="cfn-ec2-networkaclentry-egress" tooltip="http://docs.aws.amazon.com/AWSCloudFormation/latest/UserGuide/aws-resource-ec2-network-acl-entry.html#cfn-ec2-networkaclentry-egress" xr:uid="{B10EC45A-D961-4A52-8D5F-BEC0D9ADE585}"/>
    <hyperlink ref="T8" r:id="rId4" location="cfn-ec2-networkaclentry-icmp" tooltip="http://docs.aws.amazon.com/AWSCloudFormation/latest/UserGuide/aws-resource-ec2-network-acl-entry.html#cfn-ec2-networkaclentry-icmp" xr:uid="{7297639C-AF42-407F-80D1-F7883C4554C7}"/>
    <hyperlink ref="T9" r:id="rId5" location="cfn-ec2-networkaclentry-icmp-code" tooltip="http://docs.aws.amazon.com/AWSCloudFormation/latest/UserGuide/aws-properties-ec2-networkaclentry-icmp.html#cfn-ec2-networkaclentry-icmp-code" xr:uid="{0BE16E62-FC44-4850-A67B-7B8A3A2DC2E9}"/>
    <hyperlink ref="T10" r:id="rId6" location="cfn-ec2-networkaclentry-icmp-type" tooltip="http://docs.aws.amazon.com/AWSCloudFormation/latest/UserGuide/aws-properties-ec2-networkaclentry-icmp.html#cfn-ec2-networkaclentry-icmp-type" xr:uid="{BBA2377C-A78B-4662-B4B3-4958A7998B4B}"/>
    <hyperlink ref="T11" r:id="rId7" location="cfn-ec2-networkaclentry-ipv6cidrblock" tooltip="http://docs.aws.amazon.com/AWSCloudFormation/latest/UserGuide/aws-resource-ec2-network-acl-entry.html#cfn-ec2-networkaclentry-ipv6cidrblock" xr:uid="{C2AB1689-3030-4C65-A091-70408F64A009}"/>
    <hyperlink ref="T12" r:id="rId8" location="cfn-ec2-networkaclentry-networkaclid" tooltip="http://docs.aws.amazon.com/AWSCloudFormation/latest/UserGuide/aws-resource-ec2-network-acl-entry.html#cfn-ec2-networkaclentry-networkaclid" xr:uid="{B5CE06C1-1C17-4DF6-BC1B-BAC65373B74F}"/>
    <hyperlink ref="T13" r:id="rId9" location="cfn-ec2-networkaclentry-portrange" tooltip="http://docs.aws.amazon.com/AWSCloudFormation/latest/UserGuide/aws-resource-ec2-network-acl-entry.html#cfn-ec2-networkaclentry-portrange" xr:uid="{C9625176-44D3-4DE4-A6AF-0B66249E7E22}"/>
    <hyperlink ref="T14" r:id="rId10" location="cfn-ec2-networkaclentry-portrange-from" tooltip="http://docs.aws.amazon.com/AWSCloudFormation/latest/UserGuide/aws-properties-ec2-networkaclentry-portrange.html#cfn-ec2-networkaclentry-portrange-from" xr:uid="{71328A0A-C71C-4C97-BF8A-448FE94E503F}"/>
    <hyperlink ref="T15" r:id="rId11" location="cfn-ec2-networkaclentry-portrange-to" tooltip="http://docs.aws.amazon.com/AWSCloudFormation/latest/UserGuide/aws-properties-ec2-networkaclentry-portrange.html#cfn-ec2-networkaclentry-portrange-to" xr:uid="{54925751-BBEA-4379-B828-E696FE10BACD}"/>
    <hyperlink ref="T16" r:id="rId12" location="cfn-ec2-networkaclentry-protocol" tooltip="http://docs.aws.amazon.com/AWSCloudFormation/latest/UserGuide/aws-resource-ec2-network-acl-entry.html#cfn-ec2-networkaclentry-protocol" xr:uid="{F9464697-D0F1-4E27-B285-596F0E8C5C85}"/>
    <hyperlink ref="T17" r:id="rId13" location="cfn-ec2-networkaclentry-ruleaction" tooltip="http://docs.aws.amazon.com/AWSCloudFormation/latest/UserGuide/aws-resource-ec2-network-acl-entry.html#cfn-ec2-networkaclentry-ruleaction" xr:uid="{5068E4AE-F1DB-4558-AD46-B2FC13D6018A}"/>
    <hyperlink ref="T18" r:id="rId14" location="cfn-ec2-networkaclentry-rulenumber" tooltip="http://docs.aws.amazon.com/AWSCloudFormation/latest/UserGuide/aws-resource-ec2-network-acl-entry.html#cfn-ec2-networkaclentry-rulenumber" xr:uid="{0084025E-AA34-4095-A77D-E77560AB24DD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72D3-D7AF-4362-B818-EE6D20FC9FB2}">
  <sheetPr codeName="Sheet16"/>
  <dimension ref="A1:AA7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Z6" sqref="Z6:AA6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  <col min="23" max="27" width="20.625" style="8" customWidth="1"/>
  </cols>
  <sheetData>
    <row r="1" spans="1:27">
      <c r="A1" s="14" t="s">
        <v>150</v>
      </c>
    </row>
    <row r="2" spans="1:27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 t="shared" si="0"/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9">
        <f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353</v>
      </c>
      <c r="W3" s="9" t="s">
        <v>354</v>
      </c>
      <c r="X3" s="9" t="s">
        <v>355</v>
      </c>
      <c r="Y3" s="9" t="s">
        <v>356</v>
      </c>
      <c r="Z3" s="9" t="s">
        <v>357</v>
      </c>
      <c r="AA3" s="9" t="s">
        <v>358</v>
      </c>
    </row>
    <row r="4" spans="1:27">
      <c r="B4" s="9">
        <f>ROW()-2</f>
        <v>2</v>
      </c>
      <c r="C4" s="19"/>
      <c r="D4" s="25"/>
      <c r="E4" s="20" t="s">
        <v>221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  <c r="X4" s="24"/>
      <c r="Y4" s="24"/>
      <c r="Z4" s="24"/>
      <c r="AA4" s="24"/>
    </row>
    <row r="5" spans="1:27">
      <c r="B5" s="9">
        <f>ROW()-2</f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  <c r="X5" s="24"/>
      <c r="Y5" s="24"/>
      <c r="Z5" s="24"/>
      <c r="AA5" s="24"/>
    </row>
    <row r="6" spans="1:27">
      <c r="B6" s="9">
        <f>ROW()-2</f>
        <v>4</v>
      </c>
      <c r="C6" s="19"/>
      <c r="D6" s="25"/>
      <c r="E6" s="20"/>
      <c r="F6" s="15" t="s">
        <v>214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tr">
        <f>NetworkAcl!$V$3</f>
        <v>mirai-NetworkAcl-Private</v>
      </c>
      <c r="W6" s="9" t="str">
        <f>NetworkAcl!$V$3</f>
        <v>mirai-NetworkAcl-Private</v>
      </c>
      <c r="X6" s="9" t="str">
        <f>NetworkAcl!$V$3</f>
        <v>mirai-NetworkAcl-Private</v>
      </c>
      <c r="Y6" s="9" t="str">
        <f>NetworkAcl!$W$3</f>
        <v>mirai-NetworkAcl-Public</v>
      </c>
      <c r="Z6" s="9" t="str">
        <f>NetworkAcl!$W$3</f>
        <v>mirai-NetworkAcl-Public</v>
      </c>
      <c r="AA6" s="9" t="str">
        <f>NetworkAcl!$W$3</f>
        <v>mirai-NetworkAcl-Public</v>
      </c>
    </row>
    <row r="7" spans="1:27">
      <c r="B7" s="9">
        <f>ROW()-2</f>
        <v>5</v>
      </c>
      <c r="C7" s="19"/>
      <c r="D7" s="25"/>
      <c r="E7" s="20"/>
      <c r="F7" s="15" t="s">
        <v>190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 t="str">
        <f>Subnet!V3</f>
        <v>mirai-Subnet-Private-1a</v>
      </c>
      <c r="W7" s="9" t="str">
        <f>Subnet!W3</f>
        <v>mirai-Subnet-Private-1d</v>
      </c>
      <c r="X7" s="9" t="str">
        <f>Subnet!X3</f>
        <v>mirai-Subnet-Private-1c</v>
      </c>
      <c r="Y7" s="9" t="str">
        <f>Subnet!Y3</f>
        <v>mirai-Subnet-Public-1a</v>
      </c>
      <c r="Z7" s="9" t="str">
        <f>Subnet!Z3</f>
        <v>mirai-Subnet-Public-1d</v>
      </c>
      <c r="AA7" s="9" t="str">
        <f>Subnet!AA3</f>
        <v>mirai-Subnet-Public-1c</v>
      </c>
    </row>
  </sheetData>
  <phoneticPr fontId="1"/>
  <hyperlinks>
    <hyperlink ref="T4" r:id="rId1" tooltip="http://docs.aws.amazon.com/AWSCloudFormation/latest/UserGuide/aws-resource-ec2-subnet-network-acl-assoc.html" xr:uid="{66F3679E-4933-4F68-8C4E-3472564BBB5C}"/>
    <hyperlink ref="T6" r:id="rId2" location="cfn-ec2-subnetnetworkaclassociation-networkaclid" tooltip="http://docs.aws.amazon.com/AWSCloudFormation/latest/UserGuide/aws-resource-ec2-subnet-network-acl-assoc.html#cfn-ec2-subnetnetworkaclassociation-networkaclid" xr:uid="{7443EDB5-0333-433D-AA3E-531E5AFE08BF}"/>
    <hyperlink ref="T7" r:id="rId3" location="cfn-ec2-subnetnetworkaclassociation-associationid" tooltip="http://docs.aws.amazon.com/AWSCloudFormation/latest/UserGuide/aws-resource-ec2-subnet-network-acl-assoc.html#cfn-ec2-subnetnetworkaclassociation-associationid" xr:uid="{C691DC5D-4563-41AD-A881-EE338454A298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8AA4-02E8-4824-8DFF-04440586DC87}">
  <sheetPr codeName="Sheet12"/>
  <dimension ref="A1:W22"/>
  <sheetViews>
    <sheetView showGridLines="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W19" sqref="W19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3" width="20.625" style="8" customWidth="1"/>
    <col min="24" max="16384" width="9" style="8"/>
  </cols>
  <sheetData>
    <row r="1" spans="1:23">
      <c r="A1" s="14" t="s">
        <v>150</v>
      </c>
    </row>
    <row r="2" spans="1:23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/>
    </row>
    <row r="3" spans="1:23">
      <c r="B3" s="9">
        <f t="shared" ref="B3:B22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332</v>
      </c>
      <c r="W3" s="9" t="s">
        <v>341</v>
      </c>
    </row>
    <row r="4" spans="1:23">
      <c r="B4" s="9">
        <f t="shared" si="0"/>
        <v>2</v>
      </c>
      <c r="C4" s="19"/>
      <c r="D4" s="25"/>
      <c r="E4" s="20" t="s">
        <v>330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2"/>
      <c r="W4" s="22"/>
    </row>
    <row r="5" spans="1:23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2"/>
      <c r="W5" s="22"/>
    </row>
    <row r="6" spans="1:23">
      <c r="B6" s="9">
        <f t="shared" si="0"/>
        <v>4</v>
      </c>
      <c r="C6" s="19"/>
      <c r="D6" s="25"/>
      <c r="E6" s="20"/>
      <c r="F6" s="15" t="s">
        <v>280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">
        <v>333</v>
      </c>
      <c r="W6" s="9" t="s">
        <v>342</v>
      </c>
    </row>
    <row r="7" spans="1:23">
      <c r="B7" s="9">
        <f t="shared" si="0"/>
        <v>5</v>
      </c>
      <c r="C7" s="19"/>
      <c r="D7" s="25"/>
      <c r="E7" s="20"/>
      <c r="F7" s="15" t="s">
        <v>281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 t="s">
        <v>329</v>
      </c>
      <c r="W7" s="9" t="s">
        <v>329</v>
      </c>
    </row>
    <row r="8" spans="1:23">
      <c r="B8" s="9">
        <f t="shared" si="0"/>
        <v>6</v>
      </c>
      <c r="C8" s="19"/>
      <c r="D8" s="25"/>
      <c r="E8" s="20"/>
      <c r="F8" s="15" t="s">
        <v>282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172</v>
      </c>
      <c r="T8" s="18" t="s">
        <v>156</v>
      </c>
      <c r="U8" s="9"/>
      <c r="V8" s="9">
        <v>1</v>
      </c>
      <c r="W8" s="9">
        <v>4</v>
      </c>
    </row>
    <row r="9" spans="1:23">
      <c r="B9" s="9">
        <f t="shared" si="0"/>
        <v>7</v>
      </c>
      <c r="C9" s="19"/>
      <c r="D9" s="25"/>
      <c r="E9" s="20"/>
      <c r="F9" s="26" t="s">
        <v>2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7"/>
      <c r="S9" s="28" t="s">
        <v>155</v>
      </c>
      <c r="T9" s="29" t="s">
        <v>156</v>
      </c>
      <c r="U9" s="30"/>
      <c r="V9" s="28"/>
      <c r="W9" s="28"/>
    </row>
    <row r="10" spans="1:23">
      <c r="B10" s="9">
        <f t="shared" si="0"/>
        <v>8</v>
      </c>
      <c r="C10" s="19"/>
      <c r="D10" s="25"/>
      <c r="E10" s="20"/>
      <c r="F10" s="26"/>
      <c r="G10" s="31" t="s">
        <v>162</v>
      </c>
      <c r="H10" s="15" t="s">
        <v>163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  <c r="W10" s="9"/>
    </row>
    <row r="11" spans="1:23">
      <c r="B11" s="9">
        <f t="shared" si="0"/>
        <v>9</v>
      </c>
      <c r="C11" s="19"/>
      <c r="D11" s="25"/>
      <c r="E11" s="20"/>
      <c r="F11" s="26"/>
      <c r="G11" s="15"/>
      <c r="H11" s="15" t="s">
        <v>71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/>
      <c r="W11" s="9"/>
    </row>
    <row r="12" spans="1:23">
      <c r="B12" s="9">
        <f t="shared" si="0"/>
        <v>10</v>
      </c>
      <c r="C12" s="19"/>
      <c r="D12" s="25"/>
      <c r="E12" s="20"/>
      <c r="F12" s="26"/>
      <c r="G12" s="31" t="s">
        <v>162</v>
      </c>
      <c r="H12" s="15" t="s">
        <v>163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/>
      <c r="W12" s="9"/>
    </row>
    <row r="13" spans="1:23">
      <c r="B13" s="9">
        <f t="shared" si="0"/>
        <v>11</v>
      </c>
      <c r="C13" s="19"/>
      <c r="D13" s="25"/>
      <c r="E13" s="20"/>
      <c r="F13" s="26"/>
      <c r="G13" s="15"/>
      <c r="H13" s="15" t="s">
        <v>71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/>
      <c r="W13" s="9"/>
    </row>
    <row r="14" spans="1:23">
      <c r="B14" s="9">
        <f t="shared" si="0"/>
        <v>12</v>
      </c>
      <c r="C14" s="19"/>
      <c r="D14" s="25"/>
      <c r="E14" s="20"/>
      <c r="F14" s="26" t="s">
        <v>283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7"/>
      <c r="S14" s="28" t="s">
        <v>155</v>
      </c>
      <c r="T14" s="29" t="s">
        <v>156</v>
      </c>
      <c r="U14" s="30"/>
      <c r="V14" s="28"/>
      <c r="W14" s="28"/>
    </row>
    <row r="15" spans="1:23">
      <c r="B15" s="9">
        <f t="shared" si="0"/>
        <v>13</v>
      </c>
      <c r="C15" s="19"/>
      <c r="D15" s="25"/>
      <c r="E15" s="20"/>
      <c r="F15" s="26"/>
      <c r="G15" s="31" t="s">
        <v>162</v>
      </c>
      <c r="H15" s="15" t="s">
        <v>284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9" t="s">
        <v>152</v>
      </c>
      <c r="T15" s="18" t="s">
        <v>156</v>
      </c>
      <c r="U15" s="9"/>
      <c r="V15" s="9" t="s">
        <v>335</v>
      </c>
      <c r="W15" s="9" t="s">
        <v>336</v>
      </c>
    </row>
    <row r="16" spans="1:23">
      <c r="B16" s="9">
        <f t="shared" si="0"/>
        <v>14</v>
      </c>
      <c r="C16" s="19"/>
      <c r="D16" s="25"/>
      <c r="E16" s="20"/>
      <c r="F16" s="26"/>
      <c r="G16" s="15"/>
      <c r="H16" s="15" t="s">
        <v>197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9" t="s">
        <v>152</v>
      </c>
      <c r="T16" s="18" t="s">
        <v>156</v>
      </c>
      <c r="U16" s="9"/>
      <c r="V16" s="9" t="s">
        <v>334</v>
      </c>
      <c r="W16" s="9" t="s">
        <v>343</v>
      </c>
    </row>
    <row r="17" spans="2:23">
      <c r="B17" s="9">
        <f t="shared" si="0"/>
        <v>15</v>
      </c>
      <c r="C17" s="19"/>
      <c r="D17" s="25"/>
      <c r="E17" s="20"/>
      <c r="F17" s="26"/>
      <c r="G17" s="31" t="s">
        <v>162</v>
      </c>
      <c r="H17" s="15" t="s">
        <v>284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9" t="s">
        <v>152</v>
      </c>
      <c r="T17" s="18" t="s">
        <v>156</v>
      </c>
      <c r="U17" s="9"/>
      <c r="V17" s="9"/>
      <c r="W17" s="9" t="s">
        <v>337</v>
      </c>
    </row>
    <row r="18" spans="2:23">
      <c r="B18" s="9">
        <f t="shared" si="0"/>
        <v>16</v>
      </c>
      <c r="C18" s="19"/>
      <c r="D18" s="25"/>
      <c r="E18" s="20"/>
      <c r="F18" s="26"/>
      <c r="G18" s="15"/>
      <c r="H18" s="15" t="s">
        <v>197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9" t="s">
        <v>152</v>
      </c>
      <c r="T18" s="18" t="s">
        <v>156</v>
      </c>
      <c r="U18" s="9"/>
      <c r="V18" s="9"/>
      <c r="W18" s="9" t="s">
        <v>346</v>
      </c>
    </row>
    <row r="19" spans="2:23">
      <c r="B19" s="9">
        <f t="shared" si="0"/>
        <v>17</v>
      </c>
      <c r="C19" s="19"/>
      <c r="D19" s="25"/>
      <c r="E19" s="20"/>
      <c r="F19" s="26"/>
      <c r="G19" s="31" t="s">
        <v>162</v>
      </c>
      <c r="H19" s="15" t="s">
        <v>284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9" t="s">
        <v>152</v>
      </c>
      <c r="T19" s="18" t="s">
        <v>156</v>
      </c>
      <c r="U19" s="9"/>
      <c r="V19" s="9"/>
      <c r="W19" s="9" t="s">
        <v>338</v>
      </c>
    </row>
    <row r="20" spans="2:23">
      <c r="B20" s="9">
        <f t="shared" si="0"/>
        <v>18</v>
      </c>
      <c r="C20" s="19"/>
      <c r="D20" s="25"/>
      <c r="E20" s="20"/>
      <c r="F20" s="26"/>
      <c r="G20" s="15"/>
      <c r="H20" s="15" t="s">
        <v>197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9" t="s">
        <v>152</v>
      </c>
      <c r="T20" s="18" t="s">
        <v>156</v>
      </c>
      <c r="U20" s="9"/>
      <c r="V20" s="9"/>
      <c r="W20" s="9" t="s">
        <v>345</v>
      </c>
    </row>
    <row r="21" spans="2:23">
      <c r="B21" s="9">
        <f t="shared" si="0"/>
        <v>19</v>
      </c>
      <c r="C21" s="19"/>
      <c r="D21" s="25"/>
      <c r="E21" s="20"/>
      <c r="F21" s="26"/>
      <c r="G21" s="31" t="s">
        <v>162</v>
      </c>
      <c r="H21" s="15" t="s">
        <v>284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9" t="s">
        <v>152</v>
      </c>
      <c r="T21" s="18" t="s">
        <v>156</v>
      </c>
      <c r="U21" s="9"/>
      <c r="V21" s="9"/>
      <c r="W21" s="9" t="s">
        <v>339</v>
      </c>
    </row>
    <row r="22" spans="2:23">
      <c r="B22" s="9">
        <f t="shared" si="0"/>
        <v>20</v>
      </c>
      <c r="C22" s="19"/>
      <c r="D22" s="25"/>
      <c r="E22" s="20"/>
      <c r="F22" s="26"/>
      <c r="G22" s="15"/>
      <c r="H22" s="15" t="s">
        <v>197</v>
      </c>
      <c r="I22" s="15"/>
      <c r="J22" s="15"/>
      <c r="K22" s="15"/>
      <c r="L22" s="15"/>
      <c r="M22" s="15"/>
      <c r="N22" s="15"/>
      <c r="O22" s="15"/>
      <c r="P22" s="15"/>
      <c r="Q22" s="15"/>
      <c r="R22" s="16"/>
      <c r="S22" s="9" t="s">
        <v>152</v>
      </c>
      <c r="T22" s="18" t="s">
        <v>156</v>
      </c>
      <c r="U22" s="9"/>
      <c r="V22" s="9"/>
      <c r="W22" s="9" t="s">
        <v>344</v>
      </c>
    </row>
  </sheetData>
  <phoneticPr fontId="1"/>
  <hyperlinks>
    <hyperlink ref="T4" r:id="rId1" tooltip="http://docs.aws.amazon.com/AWSCloudFormation/latest/UserGuide/aws-resource-ec2-prefixlist.html" xr:uid="{FFC08A91-5F19-4211-9D8C-73E1D07AA241}"/>
    <hyperlink ref="T6" r:id="rId2" location="cfn-ec2-prefixlist-prefixlistname" tooltip="http://docs.aws.amazon.com/AWSCloudFormation/latest/UserGuide/aws-resource-ec2-prefixlist.html#cfn-ec2-prefixlist-prefixlistname" xr:uid="{DD2DD71C-8D72-448D-8552-3DD45BF294C0}"/>
    <hyperlink ref="T7" r:id="rId3" location="cfn-ec2-prefixlist-addressfamily" tooltip="http://docs.aws.amazon.com/AWSCloudFormation/latest/UserGuide/aws-resource-ec2-prefixlist.html#cfn-ec2-prefixlist-addressfamily" xr:uid="{0C9A4A33-D618-4596-B8B7-37E530025427}"/>
    <hyperlink ref="T8" r:id="rId4" location="cfn-ec2-prefixlist-maxentries" tooltip="http://docs.aws.amazon.com/AWSCloudFormation/latest/UserGuide/aws-resource-ec2-prefixlist.html#cfn-ec2-prefixlist-maxentries" xr:uid="{FDA46D43-97DC-435A-9012-F0FB48AE6921}"/>
    <hyperlink ref="T9" r:id="rId5" location="cfn-ec2-prefixlist-tags" tooltip="http://docs.aws.amazon.com/AWSCloudFormation/latest/UserGuide/aws-resource-ec2-prefixlist.html#cfn-ec2-prefixlist-tags" xr:uid="{9E2B732D-3996-4475-847C-8E05E123615F}"/>
    <hyperlink ref="T10" r:id="rId6" location="cfn-resource-tags-key" tooltip="http://docs.aws.amazon.com/AWSCloudFormation/latest/UserGuide/aws-properties-resource-tags.html#cfn-resource-tags-key" xr:uid="{5714AF0B-0781-4ED2-B8CA-994F9CC12066}"/>
    <hyperlink ref="T11" r:id="rId7" location="cfn-resource-tags-value" tooltip="http://docs.aws.amazon.com/AWSCloudFormation/latest/UserGuide/aws-properties-resource-tags.html#cfn-resource-tags-value" xr:uid="{88EBE29B-289C-4260-8C1A-7D050F89EBBC}"/>
    <hyperlink ref="T12" r:id="rId8" location="cfn-resource-tags-key" tooltip="http://docs.aws.amazon.com/AWSCloudFormation/latest/UserGuide/aws-properties-resource-tags.html#cfn-resource-tags-key" xr:uid="{7922FA71-C07E-4A6C-8010-DE857A8596F5}"/>
    <hyperlink ref="T13" r:id="rId9" location="cfn-resource-tags-value" tooltip="http://docs.aws.amazon.com/AWSCloudFormation/latest/UserGuide/aws-properties-resource-tags.html#cfn-resource-tags-value" xr:uid="{7EE84779-4CEC-4DC7-8F13-C6180BB9BE71}"/>
    <hyperlink ref="T14" r:id="rId10" location="cfn-ec2-prefixlist-entries" tooltip="http://docs.aws.amazon.com/AWSCloudFormation/latest/UserGuide/aws-resource-ec2-prefixlist.html#cfn-ec2-prefixlist-entries" xr:uid="{DA867FBF-EC27-480B-AFE8-B19AA48BD32D}"/>
    <hyperlink ref="T15" r:id="rId11" location="cfn-ec2-prefixlist-entry-cidr" tooltip="http://docs.aws.amazon.com/AWSCloudFormation/latest/UserGuide/aws-properties-ec2-prefixlist-entry.html#cfn-ec2-prefixlist-entry-cidr" xr:uid="{57A0B270-7D4B-401B-A86C-571328E67860}"/>
    <hyperlink ref="T16" r:id="rId12" location="cfn-ec2-prefixlist-entry-description" tooltip="http://docs.aws.amazon.com/AWSCloudFormation/latest/UserGuide/aws-properties-ec2-prefixlist-entry.html#cfn-ec2-prefixlist-entry-description" xr:uid="{7372C872-E8C6-45CF-BB82-EF6CA09E74E8}"/>
    <hyperlink ref="T17" r:id="rId13" location="cfn-ec2-prefixlist-entry-cidr" tooltip="http://docs.aws.amazon.com/AWSCloudFormation/latest/UserGuide/aws-properties-ec2-prefixlist-entry.html#cfn-ec2-prefixlist-entry-cidr" xr:uid="{C383BCA4-4DF6-4112-9EC4-848A0BFA26C3}"/>
    <hyperlink ref="T18" r:id="rId14" location="cfn-ec2-prefixlist-entry-description" tooltip="http://docs.aws.amazon.com/AWSCloudFormation/latest/UserGuide/aws-properties-ec2-prefixlist-entry.html#cfn-ec2-prefixlist-entry-description" xr:uid="{8F50C759-6EF4-4CD5-86CE-81974034F61F}"/>
    <hyperlink ref="T19" r:id="rId15" location="cfn-ec2-prefixlist-entry-cidr" tooltip="http://docs.aws.amazon.com/AWSCloudFormation/latest/UserGuide/aws-properties-ec2-prefixlist-entry.html#cfn-ec2-prefixlist-entry-cidr" xr:uid="{3F1F184C-5457-414E-99E7-8DC5B1D41B7A}"/>
    <hyperlink ref="T21" r:id="rId16" location="cfn-ec2-prefixlist-entry-cidr" tooltip="http://docs.aws.amazon.com/AWSCloudFormation/latest/UserGuide/aws-properties-ec2-prefixlist-entry.html#cfn-ec2-prefixlist-entry-cidr" xr:uid="{549D70BD-869C-482B-8862-54EB6E1D9740}"/>
    <hyperlink ref="T20" r:id="rId17" location="cfn-ec2-prefixlist-entry-description" tooltip="http://docs.aws.amazon.com/AWSCloudFormation/latest/UserGuide/aws-properties-ec2-prefixlist-entry.html#cfn-ec2-prefixlist-entry-description" xr:uid="{C9838FEF-DD7C-4AA4-B5B1-C5C77940180B}"/>
    <hyperlink ref="T22" r:id="rId18" location="cfn-ec2-prefixlist-entry-description" tooltip="http://docs.aws.amazon.com/AWSCloudFormation/latest/UserGuide/aws-properties-ec2-prefixlist-entry.html#cfn-ec2-prefixlist-entry-description" xr:uid="{8FA91C94-5517-44B6-8AC5-8B884A07AF0A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56B38-2C66-4290-81F0-50A716635FFA}">
  <sheetPr codeName="Sheet13"/>
  <dimension ref="A1:V51"/>
  <sheetViews>
    <sheetView showGridLines="0" workbookViewId="0">
      <pane xSplit="21" ySplit="4" topLeftCell="V35" activePane="bottomRight" state="frozen"/>
      <selection pane="topRight" activeCell="V1" sqref="V1"/>
      <selection pane="bottomLeft" activeCell="A5" sqref="A5"/>
      <selection pane="bottomRight" activeCell="V20" sqref="V20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0.625" customWidth="1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34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361</v>
      </c>
    </row>
    <row r="4" spans="1:22">
      <c r="B4" s="9">
        <f t="shared" si="0"/>
        <v>2</v>
      </c>
      <c r="C4" s="19"/>
      <c r="D4" s="25"/>
      <c r="E4" s="20" t="s">
        <v>191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15" t="s">
        <v>192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">
        <v>362</v>
      </c>
    </row>
    <row r="7" spans="1:22">
      <c r="B7" s="9">
        <f t="shared" si="0"/>
        <v>5</v>
      </c>
      <c r="C7" s="19"/>
      <c r="D7" s="25"/>
      <c r="E7" s="20"/>
      <c r="F7" s="15" t="s">
        <v>193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 t="s">
        <v>362</v>
      </c>
    </row>
    <row r="8" spans="1:22">
      <c r="B8" s="9">
        <f t="shared" si="0"/>
        <v>6</v>
      </c>
      <c r="C8" s="19"/>
      <c r="D8" s="25"/>
      <c r="E8" s="20"/>
      <c r="F8" s="26" t="s">
        <v>194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7"/>
      <c r="S8" s="28" t="s">
        <v>155</v>
      </c>
      <c r="T8" s="29" t="s">
        <v>156</v>
      </c>
      <c r="U8" s="30"/>
      <c r="V8" s="30"/>
    </row>
    <row r="9" spans="1:22">
      <c r="B9" s="9">
        <f t="shared" si="0"/>
        <v>7</v>
      </c>
      <c r="C9" s="19"/>
      <c r="D9" s="25"/>
      <c r="E9" s="20"/>
      <c r="F9" s="26"/>
      <c r="G9" s="31" t="s">
        <v>162</v>
      </c>
      <c r="H9" s="15" t="s">
        <v>195</v>
      </c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 t="s">
        <v>366</v>
      </c>
    </row>
    <row r="10" spans="1:22">
      <c r="B10" s="9">
        <f t="shared" si="0"/>
        <v>8</v>
      </c>
      <c r="C10" s="19"/>
      <c r="D10" s="25"/>
      <c r="E10" s="20"/>
      <c r="F10" s="26"/>
      <c r="G10" s="15"/>
      <c r="H10" s="15" t="s">
        <v>196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</row>
    <row r="11" spans="1:22">
      <c r="B11" s="9">
        <f t="shared" si="0"/>
        <v>9</v>
      </c>
      <c r="C11" s="19"/>
      <c r="D11" s="25"/>
      <c r="E11" s="20"/>
      <c r="F11" s="26"/>
      <c r="G11" s="15"/>
      <c r="H11" s="15" t="s">
        <v>197</v>
      </c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/>
    </row>
    <row r="12" spans="1:22">
      <c r="B12" s="9">
        <f t="shared" si="0"/>
        <v>10</v>
      </c>
      <c r="C12" s="19"/>
      <c r="D12" s="25"/>
      <c r="E12" s="20"/>
      <c r="F12" s="26"/>
      <c r="G12" s="15"/>
      <c r="H12" s="15" t="s">
        <v>198</v>
      </c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/>
    </row>
    <row r="13" spans="1:22">
      <c r="B13" s="9">
        <f t="shared" si="0"/>
        <v>11</v>
      </c>
      <c r="C13" s="19"/>
      <c r="D13" s="25"/>
      <c r="E13" s="20"/>
      <c r="F13" s="26"/>
      <c r="G13" s="15"/>
      <c r="H13" s="15" t="s">
        <v>199</v>
      </c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/>
    </row>
    <row r="14" spans="1:22">
      <c r="B14" s="9">
        <f t="shared" si="0"/>
        <v>12</v>
      </c>
      <c r="C14" s="19"/>
      <c r="D14" s="25"/>
      <c r="E14" s="20"/>
      <c r="F14" s="26"/>
      <c r="G14" s="15"/>
      <c r="H14" s="15" t="s">
        <v>200</v>
      </c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172</v>
      </c>
      <c r="T14" s="18" t="s">
        <v>156</v>
      </c>
      <c r="U14" s="9"/>
      <c r="V14" s="9"/>
    </row>
    <row r="15" spans="1:22">
      <c r="B15" s="9">
        <f t="shared" si="0"/>
        <v>13</v>
      </c>
      <c r="C15" s="19"/>
      <c r="D15" s="25"/>
      <c r="E15" s="20"/>
      <c r="F15" s="26"/>
      <c r="G15" s="15"/>
      <c r="H15" s="15" t="s">
        <v>201</v>
      </c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9" t="s">
        <v>152</v>
      </c>
      <c r="T15" s="18" t="s">
        <v>156</v>
      </c>
      <c r="U15" s="9"/>
      <c r="V15" s="9">
        <v>-1</v>
      </c>
    </row>
    <row r="16" spans="1:22">
      <c r="B16" s="9">
        <f t="shared" si="0"/>
        <v>14</v>
      </c>
      <c r="C16" s="19"/>
      <c r="D16" s="25"/>
      <c r="E16" s="20"/>
      <c r="F16" s="26"/>
      <c r="G16" s="15"/>
      <c r="H16" s="15" t="s">
        <v>202</v>
      </c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9" t="s">
        <v>172</v>
      </c>
      <c r="T16" s="18" t="s">
        <v>156</v>
      </c>
      <c r="U16" s="9"/>
      <c r="V16" s="9"/>
    </row>
    <row r="17" spans="2:22">
      <c r="B17" s="9">
        <f t="shared" si="0"/>
        <v>15</v>
      </c>
      <c r="C17" s="19"/>
      <c r="D17" s="25"/>
      <c r="E17" s="20"/>
      <c r="F17" s="26"/>
      <c r="G17" s="31" t="s">
        <v>162</v>
      </c>
      <c r="H17" s="15" t="s">
        <v>195</v>
      </c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9" t="s">
        <v>152</v>
      </c>
      <c r="T17" s="18" t="s">
        <v>156</v>
      </c>
      <c r="U17" s="9"/>
      <c r="V17" s="9"/>
    </row>
    <row r="18" spans="2:22">
      <c r="B18" s="9">
        <f t="shared" si="0"/>
        <v>16</v>
      </c>
      <c r="C18" s="19"/>
      <c r="D18" s="25"/>
      <c r="E18" s="20"/>
      <c r="F18" s="26"/>
      <c r="G18" s="15"/>
      <c r="H18" s="15" t="s">
        <v>196</v>
      </c>
      <c r="I18" s="15"/>
      <c r="J18" s="15"/>
      <c r="K18" s="15"/>
      <c r="L18" s="15"/>
      <c r="M18" s="15"/>
      <c r="N18" s="15"/>
      <c r="O18" s="15"/>
      <c r="P18" s="15"/>
      <c r="Q18" s="15"/>
      <c r="R18" s="16"/>
      <c r="S18" s="9" t="s">
        <v>152</v>
      </c>
      <c r="T18" s="18" t="s">
        <v>156</v>
      </c>
      <c r="U18" s="9"/>
      <c r="V18" s="9"/>
    </row>
    <row r="19" spans="2:22">
      <c r="B19" s="9">
        <f t="shared" si="0"/>
        <v>17</v>
      </c>
      <c r="C19" s="19"/>
      <c r="D19" s="25"/>
      <c r="E19" s="20"/>
      <c r="F19" s="26"/>
      <c r="G19" s="15"/>
      <c r="H19" s="15" t="s">
        <v>197</v>
      </c>
      <c r="I19" s="15"/>
      <c r="J19" s="15"/>
      <c r="K19" s="15"/>
      <c r="L19" s="15"/>
      <c r="M19" s="15"/>
      <c r="N19" s="15"/>
      <c r="O19" s="15"/>
      <c r="P19" s="15"/>
      <c r="Q19" s="15"/>
      <c r="R19" s="16"/>
      <c r="S19" s="9" t="s">
        <v>152</v>
      </c>
      <c r="T19" s="18" t="s">
        <v>156</v>
      </c>
      <c r="U19" s="9"/>
      <c r="V19" s="9"/>
    </row>
    <row r="20" spans="2:22">
      <c r="B20" s="9">
        <f t="shared" si="0"/>
        <v>18</v>
      </c>
      <c r="C20" s="19"/>
      <c r="D20" s="25"/>
      <c r="E20" s="20"/>
      <c r="F20" s="26"/>
      <c r="G20" s="15"/>
      <c r="H20" s="15" t="s">
        <v>198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9" t="s">
        <v>152</v>
      </c>
      <c r="T20" s="18" t="s">
        <v>156</v>
      </c>
      <c r="U20" s="9"/>
      <c r="V20" s="9"/>
    </row>
    <row r="21" spans="2:22">
      <c r="B21" s="9">
        <f t="shared" si="0"/>
        <v>19</v>
      </c>
      <c r="C21" s="19"/>
      <c r="D21" s="25"/>
      <c r="E21" s="20"/>
      <c r="F21" s="26"/>
      <c r="G21" s="15"/>
      <c r="H21" s="15" t="s">
        <v>199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9" t="s">
        <v>152</v>
      </c>
      <c r="T21" s="18" t="s">
        <v>156</v>
      </c>
      <c r="U21" s="9"/>
      <c r="V21" s="9"/>
    </row>
    <row r="22" spans="2:22">
      <c r="B22" s="9">
        <f t="shared" si="0"/>
        <v>20</v>
      </c>
      <c r="C22" s="19"/>
      <c r="D22" s="25"/>
      <c r="E22" s="20"/>
      <c r="F22" s="26"/>
      <c r="G22" s="15"/>
      <c r="H22" s="15" t="s">
        <v>200</v>
      </c>
      <c r="I22" s="15"/>
      <c r="J22" s="15"/>
      <c r="K22" s="15"/>
      <c r="L22" s="15"/>
      <c r="M22" s="15"/>
      <c r="N22" s="15"/>
      <c r="O22" s="15"/>
      <c r="P22" s="15"/>
      <c r="Q22" s="15"/>
      <c r="R22" s="16"/>
      <c r="S22" s="9" t="s">
        <v>172</v>
      </c>
      <c r="T22" s="18" t="s">
        <v>156</v>
      </c>
      <c r="U22" s="9"/>
      <c r="V22" s="9"/>
    </row>
    <row r="23" spans="2:22">
      <c r="B23" s="9">
        <f t="shared" si="0"/>
        <v>21</v>
      </c>
      <c r="C23" s="19"/>
      <c r="D23" s="25"/>
      <c r="E23" s="20"/>
      <c r="F23" s="26"/>
      <c r="G23" s="15"/>
      <c r="H23" s="15" t="s">
        <v>201</v>
      </c>
      <c r="I23" s="15"/>
      <c r="J23" s="15"/>
      <c r="K23" s="15"/>
      <c r="L23" s="15"/>
      <c r="M23" s="15"/>
      <c r="N23" s="15"/>
      <c r="O23" s="15"/>
      <c r="P23" s="15"/>
      <c r="Q23" s="15"/>
      <c r="R23" s="16"/>
      <c r="S23" s="9" t="s">
        <v>152</v>
      </c>
      <c r="T23" s="18" t="s">
        <v>156</v>
      </c>
      <c r="U23" s="9"/>
      <c r="V23" s="9"/>
    </row>
    <row r="24" spans="2:22">
      <c r="B24" s="9">
        <f t="shared" si="0"/>
        <v>22</v>
      </c>
      <c r="C24" s="19"/>
      <c r="D24" s="25"/>
      <c r="E24" s="20"/>
      <c r="F24" s="26"/>
      <c r="G24" s="15"/>
      <c r="H24" s="15" t="s">
        <v>202</v>
      </c>
      <c r="I24" s="15"/>
      <c r="J24" s="15"/>
      <c r="K24" s="15"/>
      <c r="L24" s="15"/>
      <c r="M24" s="15"/>
      <c r="N24" s="15"/>
      <c r="O24" s="15"/>
      <c r="P24" s="15"/>
      <c r="Q24" s="15"/>
      <c r="R24" s="16"/>
      <c r="S24" s="9" t="s">
        <v>172</v>
      </c>
      <c r="T24" s="18" t="s">
        <v>156</v>
      </c>
      <c r="U24" s="9"/>
      <c r="V24" s="9"/>
    </row>
    <row r="25" spans="2:22">
      <c r="B25" s="9">
        <f t="shared" si="0"/>
        <v>23</v>
      </c>
      <c r="C25" s="19"/>
      <c r="D25" s="25"/>
      <c r="E25" s="20"/>
      <c r="F25" s="26" t="s">
        <v>203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7"/>
      <c r="S25" s="28" t="s">
        <v>155</v>
      </c>
      <c r="T25" s="29" t="s">
        <v>156</v>
      </c>
      <c r="U25" s="30"/>
      <c r="V25" s="30"/>
    </row>
    <row r="26" spans="2:22">
      <c r="B26" s="9">
        <f t="shared" si="0"/>
        <v>24</v>
      </c>
      <c r="C26" s="19"/>
      <c r="D26" s="25"/>
      <c r="E26" s="20"/>
      <c r="F26" s="26"/>
      <c r="G26" s="31" t="s">
        <v>162</v>
      </c>
      <c r="H26" s="15" t="s">
        <v>195</v>
      </c>
      <c r="I26" s="15"/>
      <c r="J26" s="15"/>
      <c r="K26" s="15"/>
      <c r="L26" s="15"/>
      <c r="M26" s="15"/>
      <c r="N26" s="15"/>
      <c r="O26" s="15"/>
      <c r="P26" s="15"/>
      <c r="Q26" s="15"/>
      <c r="R26" s="16"/>
      <c r="S26" s="9" t="s">
        <v>152</v>
      </c>
      <c r="T26" s="18" t="s">
        <v>156</v>
      </c>
      <c r="U26" s="9"/>
      <c r="V26" s="9"/>
    </row>
    <row r="27" spans="2:22">
      <c r="B27" s="9">
        <f t="shared" si="0"/>
        <v>25</v>
      </c>
      <c r="C27" s="19"/>
      <c r="D27" s="25"/>
      <c r="E27" s="20"/>
      <c r="F27" s="26"/>
      <c r="G27" s="15"/>
      <c r="H27" s="15" t="s">
        <v>196</v>
      </c>
      <c r="I27" s="15"/>
      <c r="J27" s="15"/>
      <c r="K27" s="15"/>
      <c r="L27" s="15"/>
      <c r="M27" s="15"/>
      <c r="N27" s="15"/>
      <c r="O27" s="15"/>
      <c r="P27" s="15"/>
      <c r="Q27" s="15"/>
      <c r="R27" s="16"/>
      <c r="S27" s="9" t="s">
        <v>152</v>
      </c>
      <c r="T27" s="18" t="s">
        <v>156</v>
      </c>
      <c r="U27" s="9"/>
      <c r="V27" s="9"/>
    </row>
    <row r="28" spans="2:22">
      <c r="B28" s="9">
        <f t="shared" si="0"/>
        <v>26</v>
      </c>
      <c r="C28" s="19"/>
      <c r="D28" s="25"/>
      <c r="E28" s="20"/>
      <c r="F28" s="26"/>
      <c r="G28" s="15"/>
      <c r="H28" s="15" t="s">
        <v>197</v>
      </c>
      <c r="I28" s="15"/>
      <c r="J28" s="15"/>
      <c r="K28" s="15"/>
      <c r="L28" s="15"/>
      <c r="M28" s="15"/>
      <c r="N28" s="15"/>
      <c r="O28" s="15"/>
      <c r="P28" s="15"/>
      <c r="Q28" s="15"/>
      <c r="R28" s="16"/>
      <c r="S28" s="9" t="s">
        <v>152</v>
      </c>
      <c r="T28" s="18" t="s">
        <v>156</v>
      </c>
      <c r="U28" s="9"/>
      <c r="V28" s="9"/>
    </row>
    <row r="29" spans="2:22">
      <c r="B29" s="9">
        <f t="shared" si="0"/>
        <v>27</v>
      </c>
      <c r="C29" s="19"/>
      <c r="D29" s="25"/>
      <c r="E29" s="20"/>
      <c r="F29" s="26"/>
      <c r="G29" s="15"/>
      <c r="H29" s="15" t="s">
        <v>200</v>
      </c>
      <c r="I29" s="15"/>
      <c r="J29" s="15"/>
      <c r="K29" s="15"/>
      <c r="L29" s="15"/>
      <c r="M29" s="15"/>
      <c r="N29" s="15"/>
      <c r="O29" s="15"/>
      <c r="P29" s="15"/>
      <c r="Q29" s="15"/>
      <c r="R29" s="16"/>
      <c r="S29" s="9" t="s">
        <v>172</v>
      </c>
      <c r="T29" s="18" t="s">
        <v>156</v>
      </c>
      <c r="U29" s="9"/>
      <c r="V29" s="9"/>
    </row>
    <row r="30" spans="2:22">
      <c r="B30" s="9">
        <f t="shared" si="0"/>
        <v>28</v>
      </c>
      <c r="C30" s="19"/>
      <c r="D30" s="25"/>
      <c r="E30" s="20"/>
      <c r="F30" s="26"/>
      <c r="G30" s="15"/>
      <c r="H30" s="15" t="s">
        <v>201</v>
      </c>
      <c r="I30" s="15"/>
      <c r="J30" s="15"/>
      <c r="K30" s="15"/>
      <c r="L30" s="15"/>
      <c r="M30" s="15"/>
      <c r="N30" s="15"/>
      <c r="O30" s="15"/>
      <c r="P30" s="15"/>
      <c r="Q30" s="15"/>
      <c r="R30" s="16"/>
      <c r="S30" s="9" t="s">
        <v>152</v>
      </c>
      <c r="T30" s="18" t="s">
        <v>156</v>
      </c>
      <c r="U30" s="9"/>
      <c r="V30" s="9"/>
    </row>
    <row r="31" spans="2:22">
      <c r="B31" s="9">
        <f t="shared" si="0"/>
        <v>29</v>
      </c>
      <c r="C31" s="19"/>
      <c r="D31" s="25"/>
      <c r="E31" s="20"/>
      <c r="F31" s="26"/>
      <c r="G31" s="15"/>
      <c r="H31" s="15" t="s">
        <v>204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9" t="s">
        <v>152</v>
      </c>
      <c r="T31" s="18" t="s">
        <v>156</v>
      </c>
      <c r="U31" s="9"/>
      <c r="V31" s="9"/>
    </row>
    <row r="32" spans="2:22">
      <c r="B32" s="9">
        <f t="shared" si="0"/>
        <v>30</v>
      </c>
      <c r="C32" s="19"/>
      <c r="D32" s="25"/>
      <c r="E32" s="20"/>
      <c r="F32" s="26"/>
      <c r="G32" s="15"/>
      <c r="H32" s="15" t="s">
        <v>205</v>
      </c>
      <c r="I32" s="15"/>
      <c r="J32" s="15"/>
      <c r="K32" s="15"/>
      <c r="L32" s="15"/>
      <c r="M32" s="15"/>
      <c r="N32" s="15"/>
      <c r="O32" s="15"/>
      <c r="P32" s="15"/>
      <c r="Q32" s="15"/>
      <c r="R32" s="16"/>
      <c r="S32" s="9" t="s">
        <v>152</v>
      </c>
      <c r="T32" s="18" t="s">
        <v>156</v>
      </c>
      <c r="U32" s="9"/>
      <c r="V32" s="9"/>
    </row>
    <row r="33" spans="2:22">
      <c r="B33" s="9">
        <f t="shared" si="0"/>
        <v>31</v>
      </c>
      <c r="C33" s="19"/>
      <c r="D33" s="25"/>
      <c r="E33" s="20"/>
      <c r="F33" s="26"/>
      <c r="G33" s="15"/>
      <c r="H33" s="15" t="s">
        <v>206</v>
      </c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9" t="s">
        <v>152</v>
      </c>
      <c r="T33" s="18" t="s">
        <v>156</v>
      </c>
      <c r="U33" s="9"/>
      <c r="V33" s="9"/>
    </row>
    <row r="34" spans="2:22">
      <c r="B34" s="9">
        <f t="shared" si="0"/>
        <v>32</v>
      </c>
      <c r="C34" s="19"/>
      <c r="D34" s="25"/>
      <c r="E34" s="20"/>
      <c r="F34" s="26"/>
      <c r="G34" s="15"/>
      <c r="H34" s="15" t="s">
        <v>207</v>
      </c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9" t="s">
        <v>152</v>
      </c>
      <c r="T34" s="18" t="s">
        <v>156</v>
      </c>
      <c r="U34" s="9"/>
      <c r="V34" s="9"/>
    </row>
    <row r="35" spans="2:22">
      <c r="B35" s="9">
        <f t="shared" ref="B35:B51" si="1">ROW()-2</f>
        <v>33</v>
      </c>
      <c r="C35" s="19"/>
      <c r="D35" s="25"/>
      <c r="E35" s="20"/>
      <c r="F35" s="26"/>
      <c r="G35" s="15"/>
      <c r="H35" s="15" t="s">
        <v>202</v>
      </c>
      <c r="I35" s="15"/>
      <c r="J35" s="15"/>
      <c r="K35" s="15"/>
      <c r="L35" s="15"/>
      <c r="M35" s="15"/>
      <c r="N35" s="15"/>
      <c r="O35" s="15"/>
      <c r="P35" s="15"/>
      <c r="Q35" s="15"/>
      <c r="R35" s="16"/>
      <c r="S35" s="9" t="s">
        <v>172</v>
      </c>
      <c r="T35" s="18" t="s">
        <v>156</v>
      </c>
      <c r="U35" s="9"/>
      <c r="V35" s="9"/>
    </row>
    <row r="36" spans="2:22">
      <c r="B36" s="9">
        <f t="shared" si="1"/>
        <v>34</v>
      </c>
      <c r="C36" s="19"/>
      <c r="D36" s="25"/>
      <c r="E36" s="20"/>
      <c r="F36" s="26"/>
      <c r="G36" s="31" t="s">
        <v>162</v>
      </c>
      <c r="H36" s="15" t="s">
        <v>195</v>
      </c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9" t="s">
        <v>152</v>
      </c>
      <c r="T36" s="18" t="s">
        <v>156</v>
      </c>
      <c r="U36" s="9"/>
      <c r="V36" s="9"/>
    </row>
    <row r="37" spans="2:22">
      <c r="B37" s="9">
        <f t="shared" si="1"/>
        <v>35</v>
      </c>
      <c r="C37" s="19"/>
      <c r="D37" s="25"/>
      <c r="E37" s="20"/>
      <c r="F37" s="26"/>
      <c r="G37" s="15"/>
      <c r="H37" s="15" t="s">
        <v>196</v>
      </c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9" t="s">
        <v>152</v>
      </c>
      <c r="T37" s="18" t="s">
        <v>156</v>
      </c>
      <c r="U37" s="9"/>
      <c r="V37" s="9"/>
    </row>
    <row r="38" spans="2:22">
      <c r="B38" s="9">
        <f t="shared" si="1"/>
        <v>36</v>
      </c>
      <c r="C38" s="19"/>
      <c r="D38" s="25"/>
      <c r="E38" s="20"/>
      <c r="F38" s="26"/>
      <c r="G38" s="15"/>
      <c r="H38" s="15" t="s">
        <v>197</v>
      </c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9" t="s">
        <v>152</v>
      </c>
      <c r="T38" s="18" t="s">
        <v>156</v>
      </c>
      <c r="U38" s="9"/>
      <c r="V38" s="9"/>
    </row>
    <row r="39" spans="2:22">
      <c r="B39" s="9">
        <f t="shared" si="1"/>
        <v>37</v>
      </c>
      <c r="C39" s="19"/>
      <c r="D39" s="25"/>
      <c r="E39" s="20"/>
      <c r="F39" s="26"/>
      <c r="G39" s="15"/>
      <c r="H39" s="15" t="s">
        <v>200</v>
      </c>
      <c r="I39" s="15"/>
      <c r="J39" s="15"/>
      <c r="K39" s="15"/>
      <c r="L39" s="15"/>
      <c r="M39" s="15"/>
      <c r="N39" s="15"/>
      <c r="O39" s="15"/>
      <c r="P39" s="15"/>
      <c r="Q39" s="15"/>
      <c r="R39" s="16"/>
      <c r="S39" s="9" t="s">
        <v>172</v>
      </c>
      <c r="T39" s="18" t="s">
        <v>156</v>
      </c>
      <c r="U39" s="9"/>
      <c r="V39" s="9"/>
    </row>
    <row r="40" spans="2:22">
      <c r="B40" s="9">
        <f t="shared" si="1"/>
        <v>38</v>
      </c>
      <c r="C40" s="19"/>
      <c r="D40" s="25"/>
      <c r="E40" s="20"/>
      <c r="F40" s="26"/>
      <c r="G40" s="15"/>
      <c r="H40" s="15" t="s">
        <v>201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9" t="s">
        <v>152</v>
      </c>
      <c r="T40" s="18" t="s">
        <v>156</v>
      </c>
      <c r="U40" s="9"/>
      <c r="V40" s="9"/>
    </row>
    <row r="41" spans="2:22">
      <c r="B41" s="9">
        <f t="shared" si="1"/>
        <v>39</v>
      </c>
      <c r="C41" s="19"/>
      <c r="D41" s="25"/>
      <c r="E41" s="20"/>
      <c r="F41" s="26"/>
      <c r="G41" s="15"/>
      <c r="H41" s="15" t="s">
        <v>204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9" t="s">
        <v>152</v>
      </c>
      <c r="T41" s="18" t="s">
        <v>156</v>
      </c>
      <c r="U41" s="9"/>
      <c r="V41" s="9"/>
    </row>
    <row r="42" spans="2:22">
      <c r="B42" s="9">
        <f t="shared" si="1"/>
        <v>40</v>
      </c>
      <c r="C42" s="19"/>
      <c r="D42" s="25"/>
      <c r="E42" s="20"/>
      <c r="F42" s="26"/>
      <c r="G42" s="15"/>
      <c r="H42" s="15" t="s">
        <v>205</v>
      </c>
      <c r="I42" s="15"/>
      <c r="J42" s="15"/>
      <c r="K42" s="15"/>
      <c r="L42" s="15"/>
      <c r="M42" s="15"/>
      <c r="N42" s="15"/>
      <c r="O42" s="15"/>
      <c r="P42" s="15"/>
      <c r="Q42" s="15"/>
      <c r="R42" s="16"/>
      <c r="S42" s="9" t="s">
        <v>152</v>
      </c>
      <c r="T42" s="18" t="s">
        <v>156</v>
      </c>
      <c r="U42" s="9"/>
      <c r="V42" s="9"/>
    </row>
    <row r="43" spans="2:22">
      <c r="B43" s="9">
        <f t="shared" si="1"/>
        <v>41</v>
      </c>
      <c r="C43" s="19"/>
      <c r="D43" s="25"/>
      <c r="E43" s="20"/>
      <c r="F43" s="26"/>
      <c r="G43" s="15"/>
      <c r="H43" s="15" t="s">
        <v>206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9" t="s">
        <v>152</v>
      </c>
      <c r="T43" s="18" t="s">
        <v>156</v>
      </c>
      <c r="U43" s="9"/>
      <c r="V43" s="9"/>
    </row>
    <row r="44" spans="2:22">
      <c r="B44" s="9">
        <f t="shared" si="1"/>
        <v>42</v>
      </c>
      <c r="C44" s="19"/>
      <c r="D44" s="25"/>
      <c r="E44" s="20"/>
      <c r="F44" s="26"/>
      <c r="G44" s="15"/>
      <c r="H44" s="15" t="s">
        <v>207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9" t="s">
        <v>152</v>
      </c>
      <c r="T44" s="18" t="s">
        <v>156</v>
      </c>
      <c r="U44" s="9"/>
      <c r="V44" s="9"/>
    </row>
    <row r="45" spans="2:22">
      <c r="B45" s="9">
        <f t="shared" si="1"/>
        <v>43</v>
      </c>
      <c r="C45" s="19"/>
      <c r="D45" s="25"/>
      <c r="E45" s="20"/>
      <c r="F45" s="26"/>
      <c r="G45" s="15"/>
      <c r="H45" s="15" t="s">
        <v>202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9" t="s">
        <v>172</v>
      </c>
      <c r="T45" s="18" t="s">
        <v>156</v>
      </c>
      <c r="U45" s="9"/>
      <c r="V45" s="9"/>
    </row>
    <row r="46" spans="2:22">
      <c r="B46" s="9">
        <f t="shared" si="1"/>
        <v>44</v>
      </c>
      <c r="C46" s="19"/>
      <c r="D46" s="25"/>
      <c r="E46" s="20"/>
      <c r="F46" s="26" t="s">
        <v>2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7"/>
      <c r="S46" s="28" t="s">
        <v>155</v>
      </c>
      <c r="T46" s="29" t="s">
        <v>156</v>
      </c>
      <c r="U46" s="30"/>
      <c r="V46" s="30"/>
    </row>
    <row r="47" spans="2:22">
      <c r="B47" s="9">
        <f t="shared" si="1"/>
        <v>45</v>
      </c>
      <c r="C47" s="19"/>
      <c r="D47" s="25"/>
      <c r="E47" s="20"/>
      <c r="F47" s="26"/>
      <c r="G47" s="31" t="s">
        <v>162</v>
      </c>
      <c r="H47" s="15" t="s">
        <v>163</v>
      </c>
      <c r="I47" s="15"/>
      <c r="J47" s="15"/>
      <c r="K47" s="15"/>
      <c r="L47" s="15"/>
      <c r="M47" s="15"/>
      <c r="N47" s="15"/>
      <c r="O47" s="15"/>
      <c r="P47" s="15"/>
      <c r="Q47" s="15"/>
      <c r="R47" s="16"/>
      <c r="S47" s="9" t="s">
        <v>152</v>
      </c>
      <c r="T47" s="18" t="s">
        <v>156</v>
      </c>
      <c r="U47" s="9"/>
      <c r="V47" s="9"/>
    </row>
    <row r="48" spans="2:22">
      <c r="B48" s="9">
        <f t="shared" si="1"/>
        <v>46</v>
      </c>
      <c r="C48" s="19"/>
      <c r="D48" s="25"/>
      <c r="E48" s="20"/>
      <c r="F48" s="26"/>
      <c r="G48" s="15"/>
      <c r="H48" s="15" t="s">
        <v>71</v>
      </c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9" t="s">
        <v>152</v>
      </c>
      <c r="T48" s="18" t="s">
        <v>156</v>
      </c>
      <c r="U48" s="9"/>
      <c r="V48" s="9"/>
    </row>
    <row r="49" spans="2:22">
      <c r="B49" s="9">
        <f t="shared" si="1"/>
        <v>47</v>
      </c>
      <c r="C49" s="19"/>
      <c r="D49" s="25"/>
      <c r="E49" s="20"/>
      <c r="F49" s="26"/>
      <c r="G49" s="31" t="s">
        <v>162</v>
      </c>
      <c r="H49" s="15" t="s">
        <v>163</v>
      </c>
      <c r="I49" s="15"/>
      <c r="J49" s="15"/>
      <c r="K49" s="15"/>
      <c r="L49" s="15"/>
      <c r="M49" s="15"/>
      <c r="N49" s="15"/>
      <c r="O49" s="15"/>
      <c r="P49" s="15"/>
      <c r="Q49" s="15"/>
      <c r="R49" s="16"/>
      <c r="S49" s="9" t="s">
        <v>152</v>
      </c>
      <c r="T49" s="18" t="s">
        <v>156</v>
      </c>
      <c r="U49" s="9"/>
      <c r="V49" s="9"/>
    </row>
    <row r="50" spans="2:22">
      <c r="B50" s="9">
        <f t="shared" si="1"/>
        <v>48</v>
      </c>
      <c r="C50" s="19"/>
      <c r="D50" s="25"/>
      <c r="E50" s="20"/>
      <c r="F50" s="26"/>
      <c r="G50" s="15"/>
      <c r="H50" s="15" t="s">
        <v>71</v>
      </c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9" t="s">
        <v>152</v>
      </c>
      <c r="T50" s="18" t="s">
        <v>156</v>
      </c>
      <c r="U50" s="9"/>
      <c r="V50" s="9"/>
    </row>
    <row r="51" spans="2:22">
      <c r="B51" s="9">
        <f t="shared" si="1"/>
        <v>49</v>
      </c>
      <c r="C51" s="19"/>
      <c r="D51" s="25"/>
      <c r="E51" s="20"/>
      <c r="F51" s="15" t="s">
        <v>170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9" t="s">
        <v>152</v>
      </c>
      <c r="T51" s="18" t="s">
        <v>156</v>
      </c>
      <c r="U51" s="9"/>
      <c r="V51" s="9" t="str">
        <f>VPC!V3</f>
        <v>miari-VPC</v>
      </c>
    </row>
  </sheetData>
  <phoneticPr fontId="1"/>
  <hyperlinks>
    <hyperlink ref="T4" r:id="rId1" tooltip="http://docs.aws.amazon.com/AWSCloudFormation/latest/UserGuide/aws-properties-ec2-security-group.html" xr:uid="{292EF67B-1164-4CD7-80AD-89523D0395E6}"/>
    <hyperlink ref="T6" r:id="rId2" location="cfn-ec2-securitygroup-groupdescription" tooltip="http://docs.aws.amazon.com/AWSCloudFormation/latest/UserGuide/aws-properties-ec2-security-group.html#cfn-ec2-securitygroup-groupdescription" xr:uid="{39057288-B896-4BF6-80E7-FCA80468CF9D}"/>
    <hyperlink ref="T7" r:id="rId3" location="cfn-ec2-securitygroup-groupname" tooltip="http://docs.aws.amazon.com/AWSCloudFormation/latest/UserGuide/aws-properties-ec2-security-group.html#cfn-ec2-securitygroup-groupname" xr:uid="{870B0EC8-396C-4CC5-AF74-0AA796F8F5B0}"/>
    <hyperlink ref="T8" r:id="rId4" location="cfn-ec2-securitygroup-securitygroupegress" tooltip="http://docs.aws.amazon.com/AWSCloudFormation/latest/UserGuide/aws-properties-ec2-security-group.html#cfn-ec2-securitygroup-securitygroupegress" xr:uid="{85CA2F79-4C7D-4575-BBAF-AA230B1B84EE}"/>
    <hyperlink ref="T9" r:id="rId5" location="cfn-ec2-security-group-rule-cidrip" tooltip="http://docs.aws.amazon.com/AWSCloudFormation/latest/UserGuide/aws-properties-ec2-security-group-rule.html#cfn-ec2-security-group-rule-cidrip" xr:uid="{B28D4C0D-8FD7-4CB6-839A-81026B7629EC}"/>
    <hyperlink ref="T10" r:id="rId6" location="cfn-ec2-security-group-rule-cidripv6" tooltip="http://docs.aws.amazon.com/AWSCloudFormation/latest/UserGuide/aws-properties-ec2-security-group-rule.html#cfn-ec2-security-group-rule-cidripv6" xr:uid="{F9D32DA4-58B5-466E-B737-78E1AC10BEF0}"/>
    <hyperlink ref="T11" r:id="rId7" location="cfn-ec2-security-group-rule-description" tooltip="http://docs.aws.amazon.com/AWSCloudFormation/latest/UserGuide/aws-properties-ec2-security-group-rule.html#cfn-ec2-security-group-rule-description" xr:uid="{78193B2E-7BEE-40AD-ABD5-7B5033D90515}"/>
    <hyperlink ref="T12" r:id="rId8" location="cfn-ec2-security-group-rule-destinationprefixlistid" tooltip="http://docs.aws.amazon.com/AWSCloudFormation/latest/UserGuide/aws-properties-ec2-security-group-rule.html#cfn-ec2-security-group-rule-destinationprefixlistid" xr:uid="{526F26F2-F4E5-4BA3-B7E9-E3A6AC92172A}"/>
    <hyperlink ref="T13" r:id="rId9" location="cfn-ec2-security-group-rule-destsecgroupid" tooltip="http://docs.aws.amazon.com/AWSCloudFormation/latest/UserGuide/aws-properties-ec2-security-group-rule.html#cfn-ec2-security-group-rule-destsecgroupid" xr:uid="{EBC425FC-5804-4832-ACB4-ABFED90F19C1}"/>
    <hyperlink ref="T14" r:id="rId10" location="cfn-ec2-security-group-rule-fromport" tooltip="http://docs.aws.amazon.com/AWSCloudFormation/latest/UserGuide/aws-properties-ec2-security-group-rule.html#cfn-ec2-security-group-rule-fromport" xr:uid="{90AA8137-55D0-429E-A4A0-4BD655081C0B}"/>
    <hyperlink ref="T15" r:id="rId11" location="cfn-ec2-security-group-rule-ipprotocol" tooltip="http://docs.aws.amazon.com/AWSCloudFormation/latest/UserGuide/aws-properties-ec2-security-group-rule.html#cfn-ec2-security-group-rule-ipprotocol" xr:uid="{90EEF785-7E28-4505-8E5B-BF5A3F07C429}"/>
    <hyperlink ref="T16" r:id="rId12" location="cfn-ec2-security-group-rule-toport" tooltip="http://docs.aws.amazon.com/AWSCloudFormation/latest/UserGuide/aws-properties-ec2-security-group-rule.html#cfn-ec2-security-group-rule-toport" xr:uid="{D479E4BB-CEDD-44E0-946D-D1BF6A6380B1}"/>
    <hyperlink ref="T17" r:id="rId13" location="cfn-ec2-security-group-rule-cidrip" tooltip="http://docs.aws.amazon.com/AWSCloudFormation/latest/UserGuide/aws-properties-ec2-security-group-rule.html#cfn-ec2-security-group-rule-cidrip" xr:uid="{D7E4ADFB-E0A7-42E5-BA7A-4A769570F689}"/>
    <hyperlink ref="T18" r:id="rId14" location="cfn-ec2-security-group-rule-cidripv6" tooltip="http://docs.aws.amazon.com/AWSCloudFormation/latest/UserGuide/aws-properties-ec2-security-group-rule.html#cfn-ec2-security-group-rule-cidripv6" xr:uid="{98D58085-2421-40E2-A44A-95E895D51AA2}"/>
    <hyperlink ref="T19" r:id="rId15" location="cfn-ec2-security-group-rule-description" tooltip="http://docs.aws.amazon.com/AWSCloudFormation/latest/UserGuide/aws-properties-ec2-security-group-rule.html#cfn-ec2-security-group-rule-description" xr:uid="{EF36F224-54DC-4A4D-AADC-A7FF5D859767}"/>
    <hyperlink ref="T20" r:id="rId16" location="cfn-ec2-security-group-rule-destinationprefixlistid" tooltip="http://docs.aws.amazon.com/AWSCloudFormation/latest/UserGuide/aws-properties-ec2-security-group-rule.html#cfn-ec2-security-group-rule-destinationprefixlistid" xr:uid="{99CA1E33-263C-46B9-96EF-6E7C8861DC57}"/>
    <hyperlink ref="T21" r:id="rId17" location="cfn-ec2-security-group-rule-destsecgroupid" tooltip="http://docs.aws.amazon.com/AWSCloudFormation/latest/UserGuide/aws-properties-ec2-security-group-rule.html#cfn-ec2-security-group-rule-destsecgroupid" xr:uid="{9B81BA63-9CC2-47EF-BE9A-5064C653D99A}"/>
    <hyperlink ref="T22" r:id="rId18" location="cfn-ec2-security-group-rule-fromport" tooltip="http://docs.aws.amazon.com/AWSCloudFormation/latest/UserGuide/aws-properties-ec2-security-group-rule.html#cfn-ec2-security-group-rule-fromport" xr:uid="{B11FF386-FE57-4365-BDD8-6606FE855709}"/>
    <hyperlink ref="T23" r:id="rId19" location="cfn-ec2-security-group-rule-ipprotocol" tooltip="http://docs.aws.amazon.com/AWSCloudFormation/latest/UserGuide/aws-properties-ec2-security-group-rule.html#cfn-ec2-security-group-rule-ipprotocol" xr:uid="{AF62FB24-1DA0-4EA8-AA6E-0CA70C700EDA}"/>
    <hyperlink ref="T24" r:id="rId20" location="cfn-ec2-security-group-rule-toport" tooltip="http://docs.aws.amazon.com/AWSCloudFormation/latest/UserGuide/aws-properties-ec2-security-group-rule.html#cfn-ec2-security-group-rule-toport" xr:uid="{9823D43C-9552-4152-B8A9-79097D27C3CA}"/>
    <hyperlink ref="T25" r:id="rId21" location="cfn-ec2-securitygroup-securitygroupingress" tooltip="http://docs.aws.amazon.com/AWSCloudFormation/latest/UserGuide/aws-properties-ec2-security-group.html#cfn-ec2-securitygroup-securitygroupingress" xr:uid="{2A30DB7E-6AF8-46FD-BEA4-AF4B7CEC2E13}"/>
    <hyperlink ref="T26" r:id="rId22" location="cfn-ec2-security-group-rule-cidrip" tooltip="http://docs.aws.amazon.com/AWSCloudFormation/latest/UserGuide/aws-properties-ec2-security-group-rule.html#cfn-ec2-security-group-rule-cidrip" xr:uid="{AC2AA8A2-CFC1-41E5-8AFE-C2C2BD2E1861}"/>
    <hyperlink ref="T27" r:id="rId23" location="cfn-ec2-security-group-rule-cidripv6" tooltip="http://docs.aws.amazon.com/AWSCloudFormation/latest/UserGuide/aws-properties-ec2-security-group-rule.html#cfn-ec2-security-group-rule-cidripv6" xr:uid="{BCC35D6E-F54E-4036-9360-A69118B50330}"/>
    <hyperlink ref="T28" r:id="rId24" location="cfn-ec2-security-group-rule-description" tooltip="http://docs.aws.amazon.com/AWSCloudFormation/latest/UserGuide/aws-properties-ec2-security-group-rule.html#cfn-ec2-security-group-rule-description" xr:uid="{F7768B8A-9A45-46DE-A983-3E691CD37F7B}"/>
    <hyperlink ref="T29" r:id="rId25" location="cfn-ec2-security-group-rule-fromport" tooltip="http://docs.aws.amazon.com/AWSCloudFormation/latest/UserGuide/aws-properties-ec2-security-group-rule.html#cfn-ec2-security-group-rule-fromport" xr:uid="{F56F5AC0-B0C3-40A4-9CC6-F0AB91A99D8B}"/>
    <hyperlink ref="T30" r:id="rId26" location="cfn-ec2-security-group-rule-ipprotocol" tooltip="http://docs.aws.amazon.com/AWSCloudFormation/latest/UserGuide/aws-properties-ec2-security-group-rule.html#cfn-ec2-security-group-rule-ipprotocol" xr:uid="{25A54FBC-2C29-457D-ABA3-29215DC2AF41}"/>
    <hyperlink ref="T31" r:id="rId27" location="cfn-ec2-securitygroup-ingress-sourceprefixlistid" tooltip="http://docs.aws.amazon.com/AWSCloudFormation/latest/UserGuide/aws-properties-ec2-security-group-rule.html#cfn-ec2-securitygroup-ingress-sourceprefixlistid" xr:uid="{6D158476-8F88-4E04-B64E-3E54ED1C06EC}"/>
    <hyperlink ref="T32" r:id="rId28" location="cfn-ec2-security-group-rule-sourcesecuritygroupid" tooltip="http://docs.aws.amazon.com/AWSCloudFormation/latest/UserGuide/aws-properties-ec2-security-group-rule.html#cfn-ec2-security-group-rule-sourcesecuritygroupid" xr:uid="{50C51C61-A1ED-43B8-B8CB-EA1DDB679019}"/>
    <hyperlink ref="T33" r:id="rId29" location="cfn-ec2-security-group-rule-sourcesecuritygroupname" tooltip="http://docs.aws.amazon.com/AWSCloudFormation/latest/UserGuide/aws-properties-ec2-security-group-rule.html#cfn-ec2-security-group-rule-sourcesecuritygroupname" xr:uid="{BA7832CA-353C-475D-B747-A9907A023C60}"/>
    <hyperlink ref="T34" r:id="rId30" location="cfn-ec2-security-group-rule-sourcesecuritygroupownerid" tooltip="http://docs.aws.amazon.com/AWSCloudFormation/latest/UserGuide/aws-properties-ec2-security-group-rule.html#cfn-ec2-security-group-rule-sourcesecuritygroupownerid" xr:uid="{A5271E99-2206-46BC-8E2B-6CF27ADCAE24}"/>
    <hyperlink ref="T35" r:id="rId31" location="cfn-ec2-security-group-rule-toport" tooltip="http://docs.aws.amazon.com/AWSCloudFormation/latest/UserGuide/aws-properties-ec2-security-group-rule.html#cfn-ec2-security-group-rule-toport" xr:uid="{3AF196E5-BB53-4E39-98E7-14414D86CCB8}"/>
    <hyperlink ref="T36" r:id="rId32" location="cfn-ec2-security-group-rule-cidrip" tooltip="http://docs.aws.amazon.com/AWSCloudFormation/latest/UserGuide/aws-properties-ec2-security-group-rule.html#cfn-ec2-security-group-rule-cidrip" xr:uid="{29A0DD10-2181-43C2-96C1-9959222F38B7}"/>
    <hyperlink ref="T37" r:id="rId33" location="cfn-ec2-security-group-rule-cidripv6" tooltip="http://docs.aws.amazon.com/AWSCloudFormation/latest/UserGuide/aws-properties-ec2-security-group-rule.html#cfn-ec2-security-group-rule-cidripv6" xr:uid="{C7A9EAF5-B12F-4D50-A7C2-BE04691E42A6}"/>
    <hyperlink ref="T38" r:id="rId34" location="cfn-ec2-security-group-rule-description" tooltip="http://docs.aws.amazon.com/AWSCloudFormation/latest/UserGuide/aws-properties-ec2-security-group-rule.html#cfn-ec2-security-group-rule-description" xr:uid="{2C13E39E-1C89-4283-9F5E-74FA48973B1E}"/>
    <hyperlink ref="T39" r:id="rId35" location="cfn-ec2-security-group-rule-fromport" tooltip="http://docs.aws.amazon.com/AWSCloudFormation/latest/UserGuide/aws-properties-ec2-security-group-rule.html#cfn-ec2-security-group-rule-fromport" xr:uid="{70C00898-3EB6-430A-BE08-2230970F05E7}"/>
    <hyperlink ref="T40" r:id="rId36" location="cfn-ec2-security-group-rule-ipprotocol" tooltip="http://docs.aws.amazon.com/AWSCloudFormation/latest/UserGuide/aws-properties-ec2-security-group-rule.html#cfn-ec2-security-group-rule-ipprotocol" xr:uid="{7A362D94-E57C-43F6-ADB9-E511FBE6DE64}"/>
    <hyperlink ref="T41" r:id="rId37" location="cfn-ec2-securitygroup-ingress-sourceprefixlistid" tooltip="http://docs.aws.amazon.com/AWSCloudFormation/latest/UserGuide/aws-properties-ec2-security-group-rule.html#cfn-ec2-securitygroup-ingress-sourceprefixlistid" xr:uid="{1D0299F6-8DB1-4838-9BFC-BC3B1787DE28}"/>
    <hyperlink ref="T42" r:id="rId38" location="cfn-ec2-security-group-rule-sourcesecuritygroupid" tooltip="http://docs.aws.amazon.com/AWSCloudFormation/latest/UserGuide/aws-properties-ec2-security-group-rule.html#cfn-ec2-security-group-rule-sourcesecuritygroupid" xr:uid="{63754139-C578-4F64-A987-328BC49D9B9C}"/>
    <hyperlink ref="T43" r:id="rId39" location="cfn-ec2-security-group-rule-sourcesecuritygroupname" tooltip="http://docs.aws.amazon.com/AWSCloudFormation/latest/UserGuide/aws-properties-ec2-security-group-rule.html#cfn-ec2-security-group-rule-sourcesecuritygroupname" xr:uid="{CA29FCE1-9371-4CDB-881C-C19C88E92617}"/>
    <hyperlink ref="T44" r:id="rId40" location="cfn-ec2-security-group-rule-sourcesecuritygroupownerid" tooltip="http://docs.aws.amazon.com/AWSCloudFormation/latest/UserGuide/aws-properties-ec2-security-group-rule.html#cfn-ec2-security-group-rule-sourcesecuritygroupownerid" xr:uid="{7F948692-47EC-4A4C-85F4-4CE404A09C84}"/>
    <hyperlink ref="T45" r:id="rId41" location="cfn-ec2-security-group-rule-toport" tooltip="http://docs.aws.amazon.com/AWSCloudFormation/latest/UserGuide/aws-properties-ec2-security-group-rule.html#cfn-ec2-security-group-rule-toport" xr:uid="{38E7532D-1C16-4593-B675-BAF82075817D}"/>
    <hyperlink ref="T46" r:id="rId42" location="cfn-ec2-securitygroup-tags" tooltip="http://docs.aws.amazon.com/AWSCloudFormation/latest/UserGuide/aws-properties-ec2-security-group.html#cfn-ec2-securitygroup-tags" xr:uid="{3872F743-338F-4C7D-89B9-4E219FB4419B}"/>
    <hyperlink ref="T47" r:id="rId43" location="cfn-resource-tags-key" tooltip="http://docs.aws.amazon.com/AWSCloudFormation/latest/UserGuide/aws-properties-resource-tags.html#cfn-resource-tags-key" xr:uid="{A2C4DA81-EB60-453C-AAEA-5FA775A7E2DA}"/>
    <hyperlink ref="T48" r:id="rId44" location="cfn-resource-tags-value" tooltip="http://docs.aws.amazon.com/AWSCloudFormation/latest/UserGuide/aws-properties-resource-tags.html#cfn-resource-tags-value" xr:uid="{329D17FA-1089-476D-A1BD-9637D5DB14D0}"/>
    <hyperlink ref="T49" r:id="rId45" location="cfn-resource-tags-key" tooltip="http://docs.aws.amazon.com/AWSCloudFormation/latest/UserGuide/aws-properties-resource-tags.html#cfn-resource-tags-key" xr:uid="{55645F34-1AC4-4646-A3C9-0644B21E6F8C}"/>
    <hyperlink ref="T50" r:id="rId46" location="cfn-resource-tags-value" tooltip="http://docs.aws.amazon.com/AWSCloudFormation/latest/UserGuide/aws-properties-resource-tags.html#cfn-resource-tags-value" xr:uid="{9FBC03C5-235F-48B4-8153-F9BEABD70A3C}"/>
    <hyperlink ref="T51" r:id="rId47" location="cfn-ec2-securitygroup-vpcid" tooltip="http://docs.aws.amazon.com/AWSCloudFormation/latest/UserGuide/aws-properties-ec2-security-group.html#cfn-ec2-securitygroup-vpcid" xr:uid="{74C47972-CFB5-46F3-AEDA-3CDD7F3D614E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26A8C-C98C-4BC7-BEF4-1E27F92AF03C}">
  <dimension ref="A1:V14"/>
  <sheetViews>
    <sheetView showGridLines="0" workbookViewId="0">
      <pane xSplit="9" ySplit="14" topLeftCell="J15" activePane="bottomRight" state="frozen"/>
      <selection pane="topRight" activeCell="J1" sqref="J1"/>
      <selection pane="bottomLeft" activeCell="A15" sqref="A15"/>
      <selection pane="bottomRight" activeCell="V12" sqref="V12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2" width="20.625" style="8" customWidth="1"/>
    <col min="23" max="16384" width="9" style="8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14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367</v>
      </c>
    </row>
    <row r="4" spans="1:22">
      <c r="B4" s="9">
        <f t="shared" si="0"/>
        <v>2</v>
      </c>
      <c r="C4" s="19"/>
      <c r="D4" s="25"/>
      <c r="E4" s="20" t="s">
        <v>363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15" t="s">
        <v>195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 t="s">
        <v>316</v>
      </c>
    </row>
    <row r="7" spans="1:22">
      <c r="B7" s="9">
        <f t="shared" si="0"/>
        <v>5</v>
      </c>
      <c r="C7" s="19"/>
      <c r="D7" s="25"/>
      <c r="E7" s="20"/>
      <c r="F7" s="15" t="s">
        <v>196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</row>
    <row r="8" spans="1:22">
      <c r="B8" s="9">
        <f t="shared" si="0"/>
        <v>6</v>
      </c>
      <c r="C8" s="19"/>
      <c r="D8" s="25"/>
      <c r="E8" s="20"/>
      <c r="F8" s="15" t="s">
        <v>197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</row>
    <row r="9" spans="1:22">
      <c r="B9" s="9">
        <f t="shared" si="0"/>
        <v>7</v>
      </c>
      <c r="C9" s="19"/>
      <c r="D9" s="25"/>
      <c r="E9" s="20"/>
      <c r="F9" s="15" t="s">
        <v>198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152</v>
      </c>
      <c r="T9" s="18" t="s">
        <v>156</v>
      </c>
      <c r="U9" s="9"/>
      <c r="V9" s="9"/>
    </row>
    <row r="10" spans="1:22">
      <c r="B10" s="9">
        <f t="shared" si="0"/>
        <v>8</v>
      </c>
      <c r="C10" s="19"/>
      <c r="D10" s="25"/>
      <c r="E10" s="20"/>
      <c r="F10" s="15" t="s">
        <v>199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</row>
    <row r="11" spans="1:22">
      <c r="B11" s="9">
        <f t="shared" si="0"/>
        <v>9</v>
      </c>
      <c r="C11" s="19"/>
      <c r="D11" s="25"/>
      <c r="E11" s="20"/>
      <c r="F11" s="15" t="s">
        <v>200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172</v>
      </c>
      <c r="T11" s="18" t="s">
        <v>156</v>
      </c>
      <c r="U11" s="9"/>
      <c r="V11" s="9"/>
    </row>
    <row r="12" spans="1:22">
      <c r="B12" s="9">
        <f t="shared" si="0"/>
        <v>10</v>
      </c>
      <c r="C12" s="19"/>
      <c r="D12" s="25"/>
      <c r="E12" s="20"/>
      <c r="F12" s="15" t="s">
        <v>364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 t="str">
        <f>SecurityGroup!$V$3</f>
        <v>mirai-SecurityGroup-WebServer</v>
      </c>
    </row>
    <row r="13" spans="1:22">
      <c r="B13" s="9">
        <f t="shared" si="0"/>
        <v>11</v>
      </c>
      <c r="C13" s="19"/>
      <c r="D13" s="25"/>
      <c r="E13" s="20"/>
      <c r="F13" s="15" t="s">
        <v>201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>
        <v>-1</v>
      </c>
    </row>
    <row r="14" spans="1:22">
      <c r="B14" s="9">
        <f t="shared" si="0"/>
        <v>12</v>
      </c>
      <c r="C14" s="19"/>
      <c r="D14" s="25"/>
      <c r="E14" s="20"/>
      <c r="F14" s="15" t="s">
        <v>202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172</v>
      </c>
      <c r="T14" s="18" t="s">
        <v>156</v>
      </c>
      <c r="U14" s="9"/>
      <c r="V14" s="9"/>
    </row>
  </sheetData>
  <phoneticPr fontId="1"/>
  <hyperlinks>
    <hyperlink ref="T4" r:id="rId1" tooltip="http://docs.aws.amazon.com/AWSCloudFormation/latest/UserGuide/aws-resource-ec2-security-group-egress.html" xr:uid="{3B6A42CB-DDA7-474A-8592-619F50DD8EF0}"/>
    <hyperlink ref="T6" r:id="rId2" location="cfn-ec2-securitygroupegress-cidrip" tooltip="http://docs.aws.amazon.com/AWSCloudFormation/latest/UserGuide/aws-resource-ec2-security-group-egress.html#cfn-ec2-securitygroupegress-cidrip" xr:uid="{E1C0A4E9-5417-43CB-BE7A-F1F4AEF80E62}"/>
    <hyperlink ref="T7" r:id="rId3" location="cfn-ec2-securitygroupegress-cidripv6" tooltip="http://docs.aws.amazon.com/AWSCloudFormation/latest/UserGuide/aws-resource-ec2-security-group-egress.html#cfn-ec2-securitygroupegress-cidripv6" xr:uid="{86F58275-016B-459F-8F03-81F84F52004E}"/>
    <hyperlink ref="T8" r:id="rId4" location="cfn-ec2-securitygroupegress-description" tooltip="http://docs.aws.amazon.com/AWSCloudFormation/latest/UserGuide/aws-resource-ec2-security-group-egress.html#cfn-ec2-securitygroupegress-description" xr:uid="{6D07B557-1C00-4A38-A397-3D774C8B60E7}"/>
    <hyperlink ref="T9" r:id="rId5" location="cfn-ec2-securitygroupegress-destinationprefixlistid" tooltip="http://docs.aws.amazon.com/AWSCloudFormation/latest/UserGuide/aws-resource-ec2-security-group-egress.html#cfn-ec2-securitygroupegress-destinationprefixlistid" xr:uid="{8192390E-34A0-4E69-8685-AABEEFD39312}"/>
    <hyperlink ref="T10" r:id="rId6" location="cfn-ec2-securitygroupegress-destinationsecuritygroupid" tooltip="http://docs.aws.amazon.com/AWSCloudFormation/latest/UserGuide/aws-resource-ec2-security-group-egress.html#cfn-ec2-securitygroupegress-destinationsecuritygroupid" xr:uid="{A27CEFF6-943F-4589-9ABF-20EBCDE1A45F}"/>
    <hyperlink ref="T11" r:id="rId7" location="cfn-ec2-securitygroupegress-fromport" tooltip="http://docs.aws.amazon.com/AWSCloudFormation/latest/UserGuide/aws-resource-ec2-security-group-egress.html#cfn-ec2-securitygroupegress-fromport" xr:uid="{41C616C3-223E-41B5-8D0D-817D346CBF01}"/>
    <hyperlink ref="T12" r:id="rId8" location="cfn-ec2-securitygroupegress-groupid" tooltip="http://docs.aws.amazon.com/AWSCloudFormation/latest/UserGuide/aws-resource-ec2-security-group-egress.html#cfn-ec2-securitygroupegress-groupid" xr:uid="{E20E618E-1B82-49A3-8C84-2868B2A172C3}"/>
    <hyperlink ref="T13" r:id="rId9" location="cfn-ec2-securitygroupegress-ipprotocol" tooltip="http://docs.aws.amazon.com/AWSCloudFormation/latest/UserGuide/aws-resource-ec2-security-group-egress.html#cfn-ec2-securitygroupegress-ipprotocol" xr:uid="{DDE473CD-18F8-4DC8-AD9B-54EB057B5B7D}"/>
    <hyperlink ref="T14" r:id="rId10" location="cfn-ec2-securitygroupegress-toport" tooltip="http://docs.aws.amazon.com/AWSCloudFormation/latest/UserGuide/aws-resource-ec2-security-group-egress.html#cfn-ec2-securitygroupegress-toport" xr:uid="{91CB4191-31CD-401D-8548-EB95CADE1F3C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77E55-7D0E-40BD-ADFE-5F16904532D8}">
  <dimension ref="A1:AA17"/>
  <sheetViews>
    <sheetView showGridLines="0" workbookViewId="0">
      <pane xSplit="9" ySplit="14" topLeftCell="J15" activePane="bottomRight" state="frozen"/>
      <selection activeCell="V5" sqref="V5"/>
      <selection pane="topRight" activeCell="V5" sqref="V5"/>
      <selection pane="bottomLeft" activeCell="V5" sqref="V5"/>
      <selection pane="bottomRight" activeCell="V26" sqref="V26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7" width="20.625" style="8" customWidth="1"/>
    <col min="28" max="16384" width="9" style="8"/>
  </cols>
  <sheetData>
    <row r="1" spans="1:27">
      <c r="A1" s="14" t="s">
        <v>150</v>
      </c>
    </row>
    <row r="2" spans="1:27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  <c r="W2" s="7" t="str">
        <f t="shared" ref="W2:AA2" si="0">"Value" &amp; COLUMN() -  21</f>
        <v>Value2</v>
      </c>
      <c r="X2" s="7" t="str">
        <f t="shared" si="0"/>
        <v>Value3</v>
      </c>
      <c r="Y2" s="7" t="str">
        <f>"Value" &amp; COLUMN() -  21</f>
        <v>Value4</v>
      </c>
      <c r="Z2" s="7" t="str">
        <f t="shared" si="0"/>
        <v>Value5</v>
      </c>
      <c r="AA2" s="7" t="str">
        <f t="shared" si="0"/>
        <v>Value6</v>
      </c>
    </row>
    <row r="3" spans="1:27">
      <c r="B3" s="9">
        <f t="shared" ref="B3:B17" si="1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 t="s">
        <v>368</v>
      </c>
      <c r="W3" s="9" t="s">
        <v>369</v>
      </c>
      <c r="X3" s="9" t="s">
        <v>370</v>
      </c>
      <c r="Y3" s="9" t="s">
        <v>371</v>
      </c>
      <c r="Z3" s="9" t="s">
        <v>372</v>
      </c>
      <c r="AA3" s="9" t="s">
        <v>373</v>
      </c>
    </row>
    <row r="4" spans="1:27">
      <c r="B4" s="9">
        <f t="shared" si="1"/>
        <v>2</v>
      </c>
      <c r="C4" s="19"/>
      <c r="D4" s="25"/>
      <c r="E4" s="20" t="s">
        <v>365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  <c r="W4" s="24"/>
      <c r="X4" s="24"/>
      <c r="Y4" s="24"/>
      <c r="Z4" s="24"/>
      <c r="AA4" s="24"/>
    </row>
    <row r="5" spans="1:27">
      <c r="B5" s="9">
        <f t="shared" si="1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  <c r="W5" s="24"/>
      <c r="X5" s="24"/>
      <c r="Y5" s="24"/>
      <c r="Z5" s="24"/>
      <c r="AA5" s="24"/>
    </row>
    <row r="6" spans="1:27">
      <c r="B6" s="9">
        <f t="shared" si="1"/>
        <v>4</v>
      </c>
      <c r="C6" s="19"/>
      <c r="D6" s="25"/>
      <c r="E6" s="20"/>
      <c r="F6" s="15" t="s">
        <v>195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/>
      <c r="W6" s="9"/>
      <c r="X6" s="9"/>
      <c r="Y6" s="9"/>
      <c r="Z6" s="9"/>
      <c r="AA6" s="9"/>
    </row>
    <row r="7" spans="1:27">
      <c r="B7" s="9">
        <f t="shared" si="1"/>
        <v>5</v>
      </c>
      <c r="C7" s="19"/>
      <c r="D7" s="25"/>
      <c r="E7" s="20"/>
      <c r="F7" s="15" t="s">
        <v>196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  <c r="W7" s="9"/>
      <c r="X7" s="9"/>
      <c r="Y7" s="9"/>
      <c r="Z7" s="9"/>
      <c r="AA7" s="9"/>
    </row>
    <row r="8" spans="1:27">
      <c r="B8" s="9">
        <f t="shared" si="1"/>
        <v>6</v>
      </c>
      <c r="C8" s="19"/>
      <c r="D8" s="25"/>
      <c r="E8" s="20"/>
      <c r="F8" s="15" t="s">
        <v>197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  <c r="W8" s="9"/>
      <c r="X8" s="9"/>
      <c r="Y8" s="9"/>
      <c r="Z8" s="9"/>
      <c r="AA8" s="9"/>
    </row>
    <row r="9" spans="1:27">
      <c r="B9" s="9">
        <f t="shared" si="1"/>
        <v>7</v>
      </c>
      <c r="C9" s="19"/>
      <c r="D9" s="25"/>
      <c r="E9" s="20"/>
      <c r="F9" s="15" t="s">
        <v>200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9" t="s">
        <v>172</v>
      </c>
      <c r="T9" s="18" t="s">
        <v>156</v>
      </c>
      <c r="U9" s="9"/>
      <c r="V9">
        <v>22</v>
      </c>
      <c r="W9" s="9">
        <v>80</v>
      </c>
      <c r="X9" s="9">
        <v>443</v>
      </c>
      <c r="Y9" s="8">
        <v>22</v>
      </c>
      <c r="Z9" s="9">
        <v>80</v>
      </c>
      <c r="AA9" s="9">
        <v>443</v>
      </c>
    </row>
    <row r="10" spans="1:27">
      <c r="B10" s="9">
        <f t="shared" si="1"/>
        <v>8</v>
      </c>
      <c r="C10" s="19"/>
      <c r="D10" s="25"/>
      <c r="E10" s="20"/>
      <c r="F10" s="15" t="s">
        <v>364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 t="str">
        <f>SecurityGroup!$V$3</f>
        <v>mirai-SecurityGroup-WebServer</v>
      </c>
      <c r="W10" s="9" t="str">
        <f>SecurityGroup!$V$3</f>
        <v>mirai-SecurityGroup-WebServer</v>
      </c>
      <c r="X10" s="9" t="str">
        <f>SecurityGroup!$V$3</f>
        <v>mirai-SecurityGroup-WebServer</v>
      </c>
      <c r="Y10" s="9" t="str">
        <f>SecurityGroup!$V$3</f>
        <v>mirai-SecurityGroup-WebServer</v>
      </c>
      <c r="Z10" s="9" t="str">
        <f>SecurityGroup!$V$3</f>
        <v>mirai-SecurityGroup-WebServer</v>
      </c>
      <c r="AA10" s="9" t="str">
        <f>SecurityGroup!$V$3</f>
        <v>mirai-SecurityGroup-WebServer</v>
      </c>
    </row>
    <row r="11" spans="1:27">
      <c r="B11" s="9">
        <f t="shared" si="1"/>
        <v>9</v>
      </c>
      <c r="C11" s="19"/>
      <c r="D11" s="25"/>
      <c r="E11" s="20"/>
      <c r="F11" s="15" t="s">
        <v>193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9" t="s">
        <v>152</v>
      </c>
      <c r="T11" s="18" t="s">
        <v>156</v>
      </c>
      <c r="U11" s="9"/>
      <c r="V11" s="9"/>
      <c r="W11" s="9"/>
      <c r="X11" s="9"/>
      <c r="Y11" s="9"/>
      <c r="Z11" s="9"/>
      <c r="AA11" s="9"/>
    </row>
    <row r="12" spans="1:27">
      <c r="B12" s="9">
        <f t="shared" si="1"/>
        <v>10</v>
      </c>
      <c r="C12" s="19"/>
      <c r="D12" s="25"/>
      <c r="E12" s="20"/>
      <c r="F12" s="15" t="s">
        <v>201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9" t="s">
        <v>152</v>
      </c>
      <c r="T12" s="18" t="s">
        <v>156</v>
      </c>
      <c r="U12" s="9"/>
      <c r="V12" s="9" t="s">
        <v>376</v>
      </c>
      <c r="W12" s="9" t="s">
        <v>376</v>
      </c>
      <c r="X12" s="9" t="s">
        <v>376</v>
      </c>
      <c r="Y12" s="9" t="s">
        <v>376</v>
      </c>
      <c r="Z12" s="9" t="s">
        <v>376</v>
      </c>
      <c r="AA12" s="9" t="s">
        <v>376</v>
      </c>
    </row>
    <row r="13" spans="1:27">
      <c r="B13" s="9">
        <f t="shared" si="1"/>
        <v>11</v>
      </c>
      <c r="C13" s="19"/>
      <c r="D13" s="25"/>
      <c r="E13" s="20"/>
      <c r="F13" s="15" t="s">
        <v>204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9" t="s">
        <v>152</v>
      </c>
      <c r="T13" s="18" t="s">
        <v>156</v>
      </c>
      <c r="U13" s="9"/>
      <c r="V13" s="9" t="str">
        <f>PrefixList!$V$3</f>
        <v>mirai-PrefixList-Home</v>
      </c>
      <c r="W13" s="9" t="str">
        <f>PrefixList!$V$3</f>
        <v>mirai-PrefixList-Home</v>
      </c>
      <c r="X13" s="9" t="str">
        <f>PrefixList!$V$3</f>
        <v>mirai-PrefixList-Home</v>
      </c>
      <c r="Y13" s="9" t="str">
        <f>PrefixList!$W$3</f>
        <v>mirai-PrefixList-OfficeProxy</v>
      </c>
      <c r="Z13" s="9" t="str">
        <f>PrefixList!$W$3</f>
        <v>mirai-PrefixList-OfficeProxy</v>
      </c>
      <c r="AA13" s="9" t="str">
        <f>PrefixList!$W$3</f>
        <v>mirai-PrefixList-OfficeProxy</v>
      </c>
    </row>
    <row r="14" spans="1:27">
      <c r="B14" s="9">
        <f t="shared" si="1"/>
        <v>12</v>
      </c>
      <c r="C14" s="19"/>
      <c r="D14" s="25"/>
      <c r="E14" s="20"/>
      <c r="F14" s="15" t="s">
        <v>205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9" t="s">
        <v>152</v>
      </c>
      <c r="T14" s="18" t="s">
        <v>156</v>
      </c>
      <c r="U14" s="9"/>
      <c r="V14" s="9"/>
      <c r="W14" s="9"/>
      <c r="X14" s="9"/>
      <c r="Y14" s="9"/>
      <c r="Z14" s="9"/>
      <c r="AA14" s="9"/>
    </row>
    <row r="15" spans="1:27">
      <c r="B15" s="9">
        <f t="shared" si="1"/>
        <v>13</v>
      </c>
      <c r="C15" s="19"/>
      <c r="D15" s="25"/>
      <c r="E15" s="20"/>
      <c r="F15" s="15" t="s">
        <v>206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9" t="s">
        <v>152</v>
      </c>
      <c r="T15" s="18" t="s">
        <v>156</v>
      </c>
      <c r="U15" s="9"/>
      <c r="V15" s="9"/>
      <c r="W15" s="9"/>
      <c r="X15" s="9"/>
      <c r="Y15" s="9"/>
      <c r="Z15" s="9"/>
      <c r="AA15" s="9"/>
    </row>
    <row r="16" spans="1:27">
      <c r="B16" s="9">
        <f t="shared" si="1"/>
        <v>14</v>
      </c>
      <c r="C16" s="19"/>
      <c r="D16" s="25"/>
      <c r="E16" s="20"/>
      <c r="F16" s="15" t="s">
        <v>207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9" t="s">
        <v>152</v>
      </c>
      <c r="T16" s="18" t="s">
        <v>156</v>
      </c>
      <c r="U16" s="9"/>
      <c r="V16" s="9"/>
      <c r="W16" s="9"/>
      <c r="X16" s="9"/>
      <c r="Y16" s="9"/>
      <c r="Z16" s="9"/>
      <c r="AA16" s="9"/>
    </row>
    <row r="17" spans="2:27">
      <c r="B17" s="9">
        <f t="shared" si="1"/>
        <v>15</v>
      </c>
      <c r="C17" s="19"/>
      <c r="D17" s="25"/>
      <c r="E17" s="20"/>
      <c r="F17" s="15" t="s">
        <v>202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9" t="s">
        <v>172</v>
      </c>
      <c r="T17" s="18" t="s">
        <v>156</v>
      </c>
      <c r="U17" s="9"/>
      <c r="V17" s="9">
        <v>22</v>
      </c>
      <c r="W17" s="9">
        <v>80</v>
      </c>
      <c r="X17" s="9">
        <v>443</v>
      </c>
      <c r="Y17" s="9">
        <v>22</v>
      </c>
      <c r="Z17" s="9">
        <v>80</v>
      </c>
      <c r="AA17" s="9">
        <v>443</v>
      </c>
    </row>
  </sheetData>
  <phoneticPr fontId="1"/>
  <hyperlinks>
    <hyperlink ref="T4" r:id="rId1" tooltip="http://docs.aws.amazon.com/AWSCloudFormation/latest/UserGuide/aws-properties-ec2-security-group-ingress.html" xr:uid="{4CDD8882-A129-46C6-8217-DAB30161BC7A}"/>
    <hyperlink ref="T6" r:id="rId2" location="cfn-ec2-security-group-ingress-cidrip" tooltip="http://docs.aws.amazon.com/AWSCloudFormation/latest/UserGuide/aws-properties-ec2-security-group-ingress.html#cfn-ec2-security-group-ingress-cidrip" xr:uid="{E10B0606-1C39-4E3D-B5A7-C5E09D8E15F3}"/>
    <hyperlink ref="T7" r:id="rId3" location="cfn-ec2-security-group-ingress-cidripv6" tooltip="http://docs.aws.amazon.com/AWSCloudFormation/latest/UserGuide/aws-properties-ec2-security-group-ingress.html#cfn-ec2-security-group-ingress-cidripv6" xr:uid="{7E3676AA-4F90-4D3C-AB65-E4947FCCB35C}"/>
    <hyperlink ref="T8" r:id="rId4" location="cfn-ec2-security-group-ingress-description" tooltip="http://docs.aws.amazon.com/AWSCloudFormation/latest/UserGuide/aws-properties-ec2-security-group-ingress.html#cfn-ec2-security-group-ingress-description" xr:uid="{00F08B2B-04FB-4A48-87D3-966906D75971}"/>
    <hyperlink ref="T9" r:id="rId5" location="cfn-ec2-security-group-ingress-fromport" tooltip="http://docs.aws.amazon.com/AWSCloudFormation/latest/UserGuide/aws-properties-ec2-security-group-ingress.html#cfn-ec2-security-group-ingress-fromport" xr:uid="{BF914EC9-014A-4E82-BEFA-8CA204167C2B}"/>
    <hyperlink ref="T10" r:id="rId6" location="cfn-ec2-security-group-ingress-groupid" tooltip="http://docs.aws.amazon.com/AWSCloudFormation/latest/UserGuide/aws-properties-ec2-security-group-ingress.html#cfn-ec2-security-group-ingress-groupid" xr:uid="{4FC84CC2-61F2-46E1-A8DE-B9E96E23EC3A}"/>
    <hyperlink ref="T11" r:id="rId7" location="cfn-ec2-security-group-ingress-groupname" tooltip="http://docs.aws.amazon.com/AWSCloudFormation/latest/UserGuide/aws-properties-ec2-security-group-ingress.html#cfn-ec2-security-group-ingress-groupname" xr:uid="{1B28A6D4-CB20-4056-BC09-F5DE9C102941}"/>
    <hyperlink ref="T12" r:id="rId8" location="cfn-ec2-security-group-ingress-ipprotocol" tooltip="http://docs.aws.amazon.com/AWSCloudFormation/latest/UserGuide/aws-properties-ec2-security-group-ingress.html#cfn-ec2-security-group-ingress-ipprotocol" xr:uid="{21815A14-FBA6-4A5D-A507-AD04305174B8}"/>
    <hyperlink ref="T13" r:id="rId9" location="cfn-ec2-securitygroupingress-sourceprefixlistid" tooltip="http://docs.aws.amazon.com/AWSCloudFormation/latest/UserGuide/aws-properties-ec2-security-group-ingress.html#cfn-ec2-securitygroupingress-sourceprefixlistid" xr:uid="{6EC5C6FD-1DBE-4D96-8FEE-2BD1BBE7FB23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631D51F5-D7CE-4B87-9DD9-1A785402F307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AC692842-6C6C-498B-AE0E-A131CB29D65B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74FB86F4-0A55-4C93-9B38-2453D25947CD}"/>
    <hyperlink ref="T17" r:id="rId13" location="cfn-ec2-security-group-ingress-toport" tooltip="http://docs.aws.amazon.com/AWSCloudFormation/latest/UserGuide/aws-properties-ec2-security-group-ingress.html#cfn-ec2-security-group-ingress-toport" xr:uid="{3216CAD0-B5B6-428B-8915-35894D8EB88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6C70F-710B-4C50-AFDB-9C68FC54D5A7}">
  <sheetPr codeName="Sheet17"/>
  <dimension ref="A1:V153"/>
  <sheetViews>
    <sheetView showGridLines="0" workbookViewId="0">
      <pane xSplit="9" ySplit="14" topLeftCell="J15" activePane="bottomRight" state="frozen"/>
      <selection pane="topRight" activeCell="J1" sqref="J1"/>
      <selection pane="bottomLeft" activeCell="A15" sqref="A15"/>
      <selection pane="bottomRight" activeCell="V5" sqref="V5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2" width="20.625" style="8" customWidth="1"/>
    <col min="23" max="16384" width="9" style="8"/>
  </cols>
  <sheetData>
    <row r="1" spans="1:22">
      <c r="A1" s="14" t="s">
        <v>150</v>
      </c>
    </row>
    <row r="2" spans="1:22">
      <c r="B2" s="7" t="s">
        <v>164</v>
      </c>
      <c r="C2" s="7" t="s">
        <v>165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166</v>
      </c>
      <c r="T2" s="7" t="s">
        <v>167</v>
      </c>
      <c r="U2" s="7" t="s">
        <v>168</v>
      </c>
      <c r="V2" s="7" t="str">
        <f>"Value" &amp; COLUMN() -  21</f>
        <v>Value1</v>
      </c>
    </row>
    <row r="3" spans="1:22">
      <c r="B3" s="9">
        <f t="shared" ref="B3:B34" si="0">ROW()-2</f>
        <v>1</v>
      </c>
      <c r="C3" s="19"/>
      <c r="D3" s="15" t="s">
        <v>151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9" t="s">
        <v>152</v>
      </c>
      <c r="T3" s="9" t="s">
        <v>153</v>
      </c>
      <c r="U3" s="9"/>
      <c r="V3" s="9"/>
    </row>
    <row r="4" spans="1:22">
      <c r="B4" s="9">
        <f t="shared" si="0"/>
        <v>2</v>
      </c>
      <c r="C4" s="19"/>
      <c r="D4" s="25"/>
      <c r="E4" s="20" t="s">
        <v>3</v>
      </c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1"/>
      <c r="S4" s="22" t="s">
        <v>155</v>
      </c>
      <c r="T4" s="23" t="s">
        <v>156</v>
      </c>
      <c r="U4" s="24"/>
      <c r="V4" s="24"/>
    </row>
    <row r="5" spans="1:22">
      <c r="B5" s="9">
        <f t="shared" si="0"/>
        <v>3</v>
      </c>
      <c r="C5" s="19"/>
      <c r="D5" s="25"/>
      <c r="E5" s="20" t="s">
        <v>1</v>
      </c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  <c r="S5" s="22" t="s">
        <v>155</v>
      </c>
      <c r="T5" s="22" t="s">
        <v>155</v>
      </c>
      <c r="U5" s="24"/>
      <c r="V5" s="24"/>
    </row>
    <row r="6" spans="1:22">
      <c r="B6" s="9">
        <f t="shared" si="0"/>
        <v>4</v>
      </c>
      <c r="C6" s="19"/>
      <c r="D6" s="25"/>
      <c r="E6" s="20"/>
      <c r="F6" s="15" t="s">
        <v>230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9" t="s">
        <v>152</v>
      </c>
      <c r="T6" s="18" t="s">
        <v>156</v>
      </c>
      <c r="U6" s="9"/>
      <c r="V6" s="9"/>
    </row>
    <row r="7" spans="1:22">
      <c r="B7" s="9">
        <f t="shared" si="0"/>
        <v>5</v>
      </c>
      <c r="C7" s="19"/>
      <c r="D7" s="25"/>
      <c r="E7" s="20"/>
      <c r="F7" s="15" t="s">
        <v>231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9" t="s">
        <v>152</v>
      </c>
      <c r="T7" s="18" t="s">
        <v>156</v>
      </c>
      <c r="U7" s="9"/>
      <c r="V7" s="9"/>
    </row>
    <row r="8" spans="1:22">
      <c r="B8" s="9">
        <f t="shared" si="0"/>
        <v>6</v>
      </c>
      <c r="C8" s="19"/>
      <c r="D8" s="25"/>
      <c r="E8" s="20"/>
      <c r="F8" s="15" t="s">
        <v>175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9" t="s">
        <v>152</v>
      </c>
      <c r="T8" s="18" t="s">
        <v>156</v>
      </c>
      <c r="U8" s="9"/>
      <c r="V8" s="9"/>
    </row>
    <row r="9" spans="1:22">
      <c r="B9" s="9">
        <f t="shared" si="0"/>
        <v>7</v>
      </c>
      <c r="C9" s="19"/>
      <c r="D9" s="25"/>
      <c r="E9" s="20"/>
      <c r="F9" s="26" t="s">
        <v>7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7"/>
      <c r="S9" s="28" t="s">
        <v>155</v>
      </c>
      <c r="T9" s="29" t="s">
        <v>156</v>
      </c>
      <c r="U9" s="30"/>
      <c r="V9" s="30"/>
    </row>
    <row r="10" spans="1:22">
      <c r="B10" s="9">
        <f t="shared" si="0"/>
        <v>8</v>
      </c>
      <c r="C10" s="19"/>
      <c r="D10" s="25"/>
      <c r="E10" s="20"/>
      <c r="F10" s="26"/>
      <c r="G10" s="31" t="s">
        <v>162</v>
      </c>
      <c r="H10" s="15" t="s">
        <v>232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9" t="s">
        <v>152</v>
      </c>
      <c r="T10" s="18" t="s">
        <v>156</v>
      </c>
      <c r="U10" s="9"/>
      <c r="V10" s="9"/>
    </row>
    <row r="11" spans="1:22">
      <c r="B11" s="9">
        <f t="shared" si="0"/>
        <v>9</v>
      </c>
      <c r="C11" s="19"/>
      <c r="D11" s="25"/>
      <c r="E11" s="20"/>
      <c r="F11" s="26"/>
      <c r="G11" s="15"/>
      <c r="H11" s="32" t="s">
        <v>9</v>
      </c>
      <c r="I11" s="32"/>
      <c r="J11" s="32"/>
      <c r="K11" s="32"/>
      <c r="L11" s="32"/>
      <c r="M11" s="32"/>
      <c r="N11" s="32"/>
      <c r="O11" s="32"/>
      <c r="P11" s="32"/>
      <c r="Q11" s="32"/>
      <c r="R11" s="33"/>
      <c r="S11" s="34" t="s">
        <v>155</v>
      </c>
      <c r="T11" s="35" t="s">
        <v>156</v>
      </c>
      <c r="U11" s="36"/>
      <c r="V11" s="36"/>
    </row>
    <row r="12" spans="1:22">
      <c r="B12" s="9">
        <f t="shared" si="0"/>
        <v>10</v>
      </c>
      <c r="C12" s="19"/>
      <c r="D12" s="25"/>
      <c r="E12" s="20"/>
      <c r="F12" s="26"/>
      <c r="G12" s="15"/>
      <c r="H12" s="32"/>
      <c r="I12" s="15" t="s">
        <v>233</v>
      </c>
      <c r="J12" s="15"/>
      <c r="K12" s="15"/>
      <c r="L12" s="15"/>
      <c r="M12" s="15"/>
      <c r="N12" s="15"/>
      <c r="O12" s="15"/>
      <c r="P12" s="15"/>
      <c r="Q12" s="15"/>
      <c r="R12" s="16"/>
      <c r="S12" s="9" t="s">
        <v>159</v>
      </c>
      <c r="T12" s="18" t="s">
        <v>156</v>
      </c>
      <c r="U12" s="9"/>
      <c r="V12" s="9"/>
    </row>
    <row r="13" spans="1:22">
      <c r="B13" s="9">
        <f t="shared" si="0"/>
        <v>11</v>
      </c>
      <c r="C13" s="19"/>
      <c r="D13" s="25"/>
      <c r="E13" s="20"/>
      <c r="F13" s="26"/>
      <c r="G13" s="15"/>
      <c r="H13" s="32"/>
      <c r="I13" s="15" t="s">
        <v>234</v>
      </c>
      <c r="J13" s="15"/>
      <c r="K13" s="15"/>
      <c r="L13" s="15"/>
      <c r="M13" s="15"/>
      <c r="N13" s="15"/>
      <c r="O13" s="15"/>
      <c r="P13" s="15"/>
      <c r="Q13" s="15"/>
      <c r="R13" s="16"/>
      <c r="S13" s="9" t="s">
        <v>159</v>
      </c>
      <c r="T13" s="18" t="s">
        <v>156</v>
      </c>
      <c r="U13" s="9"/>
      <c r="V13" s="9"/>
    </row>
    <row r="14" spans="1:22">
      <c r="B14" s="9">
        <f t="shared" si="0"/>
        <v>12</v>
      </c>
      <c r="C14" s="19"/>
      <c r="D14" s="25"/>
      <c r="E14" s="20"/>
      <c r="F14" s="26"/>
      <c r="G14" s="15"/>
      <c r="H14" s="32"/>
      <c r="I14" s="15" t="s">
        <v>235</v>
      </c>
      <c r="J14" s="15"/>
      <c r="K14" s="15"/>
      <c r="L14" s="15"/>
      <c r="M14" s="15"/>
      <c r="N14" s="15"/>
      <c r="O14" s="15"/>
      <c r="P14" s="15"/>
      <c r="Q14" s="15"/>
      <c r="R14" s="16"/>
      <c r="S14" s="9" t="s">
        <v>172</v>
      </c>
      <c r="T14" s="18" t="s">
        <v>156</v>
      </c>
      <c r="U14" s="9"/>
      <c r="V14" s="9"/>
    </row>
    <row r="15" spans="1:22">
      <c r="B15" s="9">
        <f t="shared" si="0"/>
        <v>13</v>
      </c>
      <c r="C15" s="19"/>
      <c r="D15" s="25"/>
      <c r="E15" s="20"/>
      <c r="F15" s="26"/>
      <c r="G15" s="15"/>
      <c r="H15" s="32"/>
      <c r="I15" s="15" t="s">
        <v>236</v>
      </c>
      <c r="J15" s="15"/>
      <c r="K15" s="15"/>
      <c r="L15" s="15"/>
      <c r="M15" s="15"/>
      <c r="N15" s="15"/>
      <c r="O15" s="15"/>
      <c r="P15" s="15"/>
      <c r="Q15" s="15"/>
      <c r="R15" s="16"/>
      <c r="S15" s="9" t="s">
        <v>152</v>
      </c>
      <c r="T15" s="18" t="s">
        <v>156</v>
      </c>
      <c r="U15" s="9"/>
      <c r="V15" s="9"/>
    </row>
    <row r="16" spans="1:22">
      <c r="B16" s="9">
        <f t="shared" si="0"/>
        <v>14</v>
      </c>
      <c r="C16" s="19"/>
      <c r="D16" s="25"/>
      <c r="E16" s="20"/>
      <c r="F16" s="26"/>
      <c r="G16" s="15"/>
      <c r="H16" s="32"/>
      <c r="I16" s="15" t="s">
        <v>237</v>
      </c>
      <c r="J16" s="15"/>
      <c r="K16" s="15"/>
      <c r="L16" s="15"/>
      <c r="M16" s="15"/>
      <c r="N16" s="15"/>
      <c r="O16" s="15"/>
      <c r="P16" s="15"/>
      <c r="Q16" s="15"/>
      <c r="R16" s="16"/>
      <c r="S16" s="9" t="s">
        <v>152</v>
      </c>
      <c r="T16" s="18" t="s">
        <v>156</v>
      </c>
      <c r="U16" s="9"/>
      <c r="V16" s="9"/>
    </row>
    <row r="17" spans="2:22">
      <c r="B17" s="9">
        <f t="shared" si="0"/>
        <v>15</v>
      </c>
      <c r="C17" s="19"/>
      <c r="D17" s="25"/>
      <c r="E17" s="20"/>
      <c r="F17" s="26"/>
      <c r="G17" s="15"/>
      <c r="H17" s="32"/>
      <c r="I17" s="15" t="s">
        <v>238</v>
      </c>
      <c r="J17" s="15"/>
      <c r="K17" s="15"/>
      <c r="L17" s="15"/>
      <c r="M17" s="15"/>
      <c r="N17" s="15"/>
      <c r="O17" s="15"/>
      <c r="P17" s="15"/>
      <c r="Q17" s="15"/>
      <c r="R17" s="16"/>
      <c r="S17" s="9" t="s">
        <v>172</v>
      </c>
      <c r="T17" s="18" t="s">
        <v>156</v>
      </c>
      <c r="U17" s="9"/>
      <c r="V17" s="9"/>
    </row>
    <row r="18" spans="2:22">
      <c r="B18" s="9">
        <f t="shared" si="0"/>
        <v>16</v>
      </c>
      <c r="C18" s="19"/>
      <c r="D18" s="25"/>
      <c r="E18" s="20"/>
      <c r="F18" s="26"/>
      <c r="G18" s="15"/>
      <c r="H18" s="32"/>
      <c r="I18" s="15" t="s">
        <v>239</v>
      </c>
      <c r="J18" s="15"/>
      <c r="K18" s="15"/>
      <c r="L18" s="15"/>
      <c r="M18" s="15"/>
      <c r="N18" s="15"/>
      <c r="O18" s="15"/>
      <c r="P18" s="15"/>
      <c r="Q18" s="15"/>
      <c r="R18" s="16"/>
      <c r="S18" s="9" t="s">
        <v>152</v>
      </c>
      <c r="T18" s="18" t="s">
        <v>156</v>
      </c>
      <c r="U18" s="9"/>
      <c r="V18" s="9"/>
    </row>
    <row r="19" spans="2:22">
      <c r="B19" s="9">
        <f t="shared" si="0"/>
        <v>17</v>
      </c>
      <c r="C19" s="19"/>
      <c r="D19" s="25"/>
      <c r="E19" s="20"/>
      <c r="F19" s="26"/>
      <c r="G19" s="15"/>
      <c r="H19" s="32" t="s">
        <v>240</v>
      </c>
      <c r="I19" s="32"/>
      <c r="J19" s="32"/>
      <c r="K19" s="32"/>
      <c r="L19" s="32"/>
      <c r="M19" s="32"/>
      <c r="N19" s="32"/>
      <c r="O19" s="32"/>
      <c r="P19" s="32"/>
      <c r="Q19" s="32"/>
      <c r="R19" s="33"/>
      <c r="S19" s="34" t="s">
        <v>155</v>
      </c>
      <c r="T19" s="35" t="s">
        <v>156</v>
      </c>
      <c r="U19" s="36"/>
      <c r="V19" s="36"/>
    </row>
    <row r="20" spans="2:22">
      <c r="B20" s="9">
        <f t="shared" si="0"/>
        <v>18</v>
      </c>
      <c r="C20" s="19"/>
      <c r="D20" s="25"/>
      <c r="E20" s="20"/>
      <c r="F20" s="26"/>
      <c r="G20" s="15"/>
      <c r="H20" s="15" t="s">
        <v>241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9" t="s">
        <v>152</v>
      </c>
      <c r="T20" s="18" t="s">
        <v>156</v>
      </c>
      <c r="U20" s="9"/>
      <c r="V20" s="9"/>
    </row>
    <row r="21" spans="2:22">
      <c r="B21" s="9">
        <f t="shared" si="0"/>
        <v>19</v>
      </c>
      <c r="C21" s="19"/>
      <c r="D21" s="25"/>
      <c r="E21" s="20"/>
      <c r="F21" s="26"/>
      <c r="G21" s="31" t="s">
        <v>162</v>
      </c>
      <c r="H21" s="15" t="s">
        <v>232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9" t="s">
        <v>152</v>
      </c>
      <c r="T21" s="18" t="s">
        <v>156</v>
      </c>
      <c r="U21" s="9"/>
      <c r="V21" s="9"/>
    </row>
    <row r="22" spans="2:22">
      <c r="B22" s="9">
        <f t="shared" si="0"/>
        <v>20</v>
      </c>
      <c r="C22" s="19"/>
      <c r="D22" s="25"/>
      <c r="E22" s="20"/>
      <c r="F22" s="26"/>
      <c r="G22" s="15"/>
      <c r="H22" s="32" t="s">
        <v>9</v>
      </c>
      <c r="I22" s="32"/>
      <c r="J22" s="32"/>
      <c r="K22" s="32"/>
      <c r="L22" s="32"/>
      <c r="M22" s="32"/>
      <c r="N22" s="32"/>
      <c r="O22" s="32"/>
      <c r="P22" s="32"/>
      <c r="Q22" s="32"/>
      <c r="R22" s="33"/>
      <c r="S22" s="34" t="s">
        <v>155</v>
      </c>
      <c r="T22" s="35" t="s">
        <v>156</v>
      </c>
      <c r="U22" s="36"/>
      <c r="V22" s="36"/>
    </row>
    <row r="23" spans="2:22">
      <c r="B23" s="9">
        <f t="shared" si="0"/>
        <v>21</v>
      </c>
      <c r="C23" s="19"/>
      <c r="D23" s="25"/>
      <c r="E23" s="20"/>
      <c r="F23" s="26"/>
      <c r="G23" s="15"/>
      <c r="H23" s="32"/>
      <c r="I23" s="15" t="s">
        <v>233</v>
      </c>
      <c r="J23" s="15"/>
      <c r="K23" s="15"/>
      <c r="L23" s="15"/>
      <c r="M23" s="15"/>
      <c r="N23" s="15"/>
      <c r="O23" s="15"/>
      <c r="P23" s="15"/>
      <c r="Q23" s="15"/>
      <c r="R23" s="16"/>
      <c r="S23" s="9" t="s">
        <v>159</v>
      </c>
      <c r="T23" s="18" t="s">
        <v>156</v>
      </c>
      <c r="U23" s="9"/>
      <c r="V23" s="9"/>
    </row>
    <row r="24" spans="2:22">
      <c r="B24" s="9">
        <f t="shared" si="0"/>
        <v>22</v>
      </c>
      <c r="C24" s="19"/>
      <c r="D24" s="25"/>
      <c r="E24" s="20"/>
      <c r="F24" s="26"/>
      <c r="G24" s="15"/>
      <c r="H24" s="32"/>
      <c r="I24" s="15" t="s">
        <v>234</v>
      </c>
      <c r="J24" s="15"/>
      <c r="K24" s="15"/>
      <c r="L24" s="15"/>
      <c r="M24" s="15"/>
      <c r="N24" s="15"/>
      <c r="O24" s="15"/>
      <c r="P24" s="15"/>
      <c r="Q24" s="15"/>
      <c r="R24" s="16"/>
      <c r="S24" s="9" t="s">
        <v>159</v>
      </c>
      <c r="T24" s="18" t="s">
        <v>156</v>
      </c>
      <c r="U24" s="9"/>
      <c r="V24" s="9"/>
    </row>
    <row r="25" spans="2:22">
      <c r="B25" s="9">
        <f t="shared" si="0"/>
        <v>23</v>
      </c>
      <c r="C25" s="19"/>
      <c r="D25" s="25"/>
      <c r="E25" s="20"/>
      <c r="F25" s="26"/>
      <c r="G25" s="15"/>
      <c r="H25" s="32"/>
      <c r="I25" s="15" t="s">
        <v>235</v>
      </c>
      <c r="J25" s="15"/>
      <c r="K25" s="15"/>
      <c r="L25" s="15"/>
      <c r="M25" s="15"/>
      <c r="N25" s="15"/>
      <c r="O25" s="15"/>
      <c r="P25" s="15"/>
      <c r="Q25" s="15"/>
      <c r="R25" s="16"/>
      <c r="S25" s="9" t="s">
        <v>172</v>
      </c>
      <c r="T25" s="18" t="s">
        <v>156</v>
      </c>
      <c r="U25" s="9"/>
      <c r="V25" s="9"/>
    </row>
    <row r="26" spans="2:22">
      <c r="B26" s="9">
        <f t="shared" si="0"/>
        <v>24</v>
      </c>
      <c r="C26" s="19"/>
      <c r="D26" s="25"/>
      <c r="E26" s="20"/>
      <c r="F26" s="26"/>
      <c r="G26" s="15"/>
      <c r="H26" s="32"/>
      <c r="I26" s="15" t="s">
        <v>236</v>
      </c>
      <c r="J26" s="15"/>
      <c r="K26" s="15"/>
      <c r="L26" s="15"/>
      <c r="M26" s="15"/>
      <c r="N26" s="15"/>
      <c r="O26" s="15"/>
      <c r="P26" s="15"/>
      <c r="Q26" s="15"/>
      <c r="R26" s="16"/>
      <c r="S26" s="9" t="s">
        <v>152</v>
      </c>
      <c r="T26" s="18" t="s">
        <v>156</v>
      </c>
      <c r="U26" s="9"/>
      <c r="V26" s="9"/>
    </row>
    <row r="27" spans="2:22">
      <c r="B27" s="9">
        <f t="shared" si="0"/>
        <v>25</v>
      </c>
      <c r="C27" s="19"/>
      <c r="D27" s="25"/>
      <c r="E27" s="20"/>
      <c r="F27" s="26"/>
      <c r="G27" s="15"/>
      <c r="H27" s="32"/>
      <c r="I27" s="15" t="s">
        <v>237</v>
      </c>
      <c r="J27" s="15"/>
      <c r="K27" s="15"/>
      <c r="L27" s="15"/>
      <c r="M27" s="15"/>
      <c r="N27" s="15"/>
      <c r="O27" s="15"/>
      <c r="P27" s="15"/>
      <c r="Q27" s="15"/>
      <c r="R27" s="16"/>
      <c r="S27" s="9" t="s">
        <v>152</v>
      </c>
      <c r="T27" s="18" t="s">
        <v>156</v>
      </c>
      <c r="U27" s="9"/>
      <c r="V27" s="9"/>
    </row>
    <row r="28" spans="2:22">
      <c r="B28" s="9">
        <f t="shared" si="0"/>
        <v>26</v>
      </c>
      <c r="C28" s="19"/>
      <c r="D28" s="25"/>
      <c r="E28" s="20"/>
      <c r="F28" s="26"/>
      <c r="G28" s="15"/>
      <c r="H28" s="32"/>
      <c r="I28" s="15" t="s">
        <v>238</v>
      </c>
      <c r="J28" s="15"/>
      <c r="K28" s="15"/>
      <c r="L28" s="15"/>
      <c r="M28" s="15"/>
      <c r="N28" s="15"/>
      <c r="O28" s="15"/>
      <c r="P28" s="15"/>
      <c r="Q28" s="15"/>
      <c r="R28" s="16"/>
      <c r="S28" s="9" t="s">
        <v>172</v>
      </c>
      <c r="T28" s="18" t="s">
        <v>156</v>
      </c>
      <c r="U28" s="9"/>
      <c r="V28" s="9"/>
    </row>
    <row r="29" spans="2:22">
      <c r="B29" s="9">
        <f t="shared" si="0"/>
        <v>27</v>
      </c>
      <c r="C29" s="19"/>
      <c r="D29" s="25"/>
      <c r="E29" s="20"/>
      <c r="F29" s="26"/>
      <c r="G29" s="15"/>
      <c r="H29" s="32"/>
      <c r="I29" s="15" t="s">
        <v>239</v>
      </c>
      <c r="J29" s="15"/>
      <c r="K29" s="15"/>
      <c r="L29" s="15"/>
      <c r="M29" s="15"/>
      <c r="N29" s="15"/>
      <c r="O29" s="15"/>
      <c r="P29" s="15"/>
      <c r="Q29" s="15"/>
      <c r="R29" s="16"/>
      <c r="S29" s="9" t="s">
        <v>152</v>
      </c>
      <c r="T29" s="18" t="s">
        <v>156</v>
      </c>
      <c r="U29" s="9"/>
      <c r="V29" s="9"/>
    </row>
    <row r="30" spans="2:22">
      <c r="B30" s="9">
        <f t="shared" si="0"/>
        <v>28</v>
      </c>
      <c r="C30" s="19"/>
      <c r="D30" s="25"/>
      <c r="E30" s="20"/>
      <c r="F30" s="26"/>
      <c r="G30" s="15"/>
      <c r="H30" s="32" t="s">
        <v>240</v>
      </c>
      <c r="I30" s="32"/>
      <c r="J30" s="32"/>
      <c r="K30" s="32"/>
      <c r="L30" s="32"/>
      <c r="M30" s="32"/>
      <c r="N30" s="32"/>
      <c r="O30" s="32"/>
      <c r="P30" s="32"/>
      <c r="Q30" s="32"/>
      <c r="R30" s="33"/>
      <c r="S30" s="34" t="s">
        <v>155</v>
      </c>
      <c r="T30" s="35" t="s">
        <v>156</v>
      </c>
      <c r="U30" s="36"/>
      <c r="V30" s="36"/>
    </row>
    <row r="31" spans="2:22">
      <c r="B31" s="9">
        <f t="shared" si="0"/>
        <v>29</v>
      </c>
      <c r="C31" s="19"/>
      <c r="D31" s="25"/>
      <c r="E31" s="20"/>
      <c r="F31" s="26"/>
      <c r="G31" s="15"/>
      <c r="H31" s="15" t="s">
        <v>241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9" t="s">
        <v>152</v>
      </c>
      <c r="T31" s="18" t="s">
        <v>156</v>
      </c>
      <c r="U31" s="9"/>
      <c r="V31" s="9"/>
    </row>
    <row r="32" spans="2:22">
      <c r="B32" s="9">
        <f t="shared" si="0"/>
        <v>30</v>
      </c>
      <c r="C32" s="19"/>
      <c r="D32" s="25"/>
      <c r="E32" s="20"/>
      <c r="F32" s="26" t="s">
        <v>19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7"/>
      <c r="S32" s="28" t="s">
        <v>155</v>
      </c>
      <c r="T32" s="29" t="s">
        <v>156</v>
      </c>
      <c r="U32" s="30"/>
      <c r="V32" s="30"/>
    </row>
    <row r="33" spans="2:22">
      <c r="B33" s="9">
        <f t="shared" si="0"/>
        <v>31</v>
      </c>
      <c r="C33" s="19"/>
      <c r="D33" s="25"/>
      <c r="E33" s="20"/>
      <c r="F33" s="26"/>
      <c r="G33" s="15" t="s">
        <v>242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9" t="s">
        <v>172</v>
      </c>
      <c r="T33" s="18" t="s">
        <v>156</v>
      </c>
      <c r="U33" s="9"/>
      <c r="V33" s="9"/>
    </row>
    <row r="34" spans="2:22">
      <c r="B34" s="9">
        <f t="shared" si="0"/>
        <v>32</v>
      </c>
      <c r="C34" s="19"/>
      <c r="D34" s="25"/>
      <c r="E34" s="20"/>
      <c r="F34" s="26"/>
      <c r="G34" s="15" t="s">
        <v>243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9" t="s">
        <v>172</v>
      </c>
      <c r="T34" s="18" t="s">
        <v>156</v>
      </c>
      <c r="U34" s="9"/>
      <c r="V34" s="9"/>
    </row>
    <row r="35" spans="2:22">
      <c r="B35" s="9">
        <f t="shared" ref="B35:B66" si="1">ROW()-2</f>
        <v>33</v>
      </c>
      <c r="C35" s="19"/>
      <c r="D35" s="25"/>
      <c r="E35" s="20"/>
      <c r="F35" s="26" t="s">
        <v>22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7"/>
      <c r="S35" s="28" t="s">
        <v>155</v>
      </c>
      <c r="T35" s="29" t="s">
        <v>156</v>
      </c>
      <c r="U35" s="30"/>
      <c r="V35" s="30"/>
    </row>
    <row r="36" spans="2:22">
      <c r="B36" s="9">
        <f t="shared" si="1"/>
        <v>34</v>
      </c>
      <c r="C36" s="19"/>
      <c r="D36" s="25"/>
      <c r="E36" s="20"/>
      <c r="F36" s="26"/>
      <c r="G36" s="15" t="s">
        <v>244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9" t="s">
        <v>152</v>
      </c>
      <c r="T36" s="18" t="s">
        <v>156</v>
      </c>
      <c r="U36" s="9"/>
      <c r="V36" s="9"/>
    </row>
    <row r="37" spans="2:22">
      <c r="B37" s="9">
        <f t="shared" si="1"/>
        <v>35</v>
      </c>
      <c r="C37" s="19"/>
      <c r="D37" s="25"/>
      <c r="E37" s="20"/>
      <c r="F37" s="15" t="s">
        <v>245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9" t="s">
        <v>159</v>
      </c>
      <c r="T37" s="18" t="s">
        <v>156</v>
      </c>
      <c r="U37" s="9"/>
      <c r="V37" s="9"/>
    </row>
    <row r="38" spans="2:22">
      <c r="B38" s="9">
        <f t="shared" si="1"/>
        <v>36</v>
      </c>
      <c r="C38" s="19"/>
      <c r="D38" s="25"/>
      <c r="E38" s="20"/>
      <c r="F38" s="15" t="s">
        <v>246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9" t="s">
        <v>159</v>
      </c>
      <c r="T38" s="18" t="s">
        <v>156</v>
      </c>
      <c r="U38" s="9"/>
      <c r="V38" s="9"/>
    </row>
    <row r="39" spans="2:22">
      <c r="B39" s="9">
        <f t="shared" si="1"/>
        <v>37</v>
      </c>
      <c r="C39" s="19"/>
      <c r="D39" s="25"/>
      <c r="E39" s="20"/>
      <c r="F39" s="26" t="s">
        <v>26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7"/>
      <c r="S39" s="28" t="s">
        <v>155</v>
      </c>
      <c r="T39" s="29" t="s">
        <v>156</v>
      </c>
      <c r="U39" s="30"/>
      <c r="V39" s="30"/>
    </row>
    <row r="40" spans="2:22">
      <c r="B40" s="9">
        <f t="shared" si="1"/>
        <v>38</v>
      </c>
      <c r="C40" s="19"/>
      <c r="D40" s="25"/>
      <c r="E40" s="20"/>
      <c r="F40" s="26"/>
      <c r="G40" s="31" t="s">
        <v>162</v>
      </c>
      <c r="H40" s="15" t="s">
        <v>213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9" t="s">
        <v>152</v>
      </c>
      <c r="T40" s="18" t="s">
        <v>156</v>
      </c>
      <c r="U40" s="9"/>
      <c r="V40" s="9"/>
    </row>
    <row r="41" spans="2:22">
      <c r="B41" s="9">
        <f t="shared" si="1"/>
        <v>39</v>
      </c>
      <c r="C41" s="19"/>
      <c r="D41" s="25"/>
      <c r="E41" s="20"/>
      <c r="F41" s="26"/>
      <c r="G41" s="31" t="s">
        <v>162</v>
      </c>
      <c r="H41" s="15" t="s">
        <v>213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9" t="s">
        <v>152</v>
      </c>
      <c r="T41" s="18" t="s">
        <v>156</v>
      </c>
      <c r="U41" s="9"/>
      <c r="V41" s="9"/>
    </row>
    <row r="42" spans="2:22">
      <c r="B42" s="9">
        <f t="shared" si="1"/>
        <v>40</v>
      </c>
      <c r="C42" s="19"/>
      <c r="D42" s="25"/>
      <c r="E42" s="20"/>
      <c r="F42" s="26" t="s">
        <v>28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7"/>
      <c r="S42" s="28" t="s">
        <v>155</v>
      </c>
      <c r="T42" s="29" t="s">
        <v>156</v>
      </c>
      <c r="U42" s="30"/>
      <c r="V42" s="30"/>
    </row>
    <row r="43" spans="2:22">
      <c r="B43" s="9">
        <f t="shared" si="1"/>
        <v>41</v>
      </c>
      <c r="C43" s="19"/>
      <c r="D43" s="25"/>
      <c r="E43" s="20"/>
      <c r="F43" s="26"/>
      <c r="G43" s="31" t="s">
        <v>162</v>
      </c>
      <c r="H43" s="15" t="s">
        <v>247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9" t="s">
        <v>172</v>
      </c>
      <c r="T43" s="18" t="s">
        <v>156</v>
      </c>
      <c r="U43" s="9"/>
      <c r="V43" s="9"/>
    </row>
    <row r="44" spans="2:22">
      <c r="B44" s="9">
        <f t="shared" si="1"/>
        <v>42</v>
      </c>
      <c r="C44" s="19"/>
      <c r="D44" s="25"/>
      <c r="E44" s="20"/>
      <c r="F44" s="26"/>
      <c r="G44" s="15"/>
      <c r="H44" s="15" t="s">
        <v>213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9" t="s">
        <v>152</v>
      </c>
      <c r="T44" s="18" t="s">
        <v>156</v>
      </c>
      <c r="U44" s="9"/>
      <c r="V44" s="9"/>
    </row>
    <row r="45" spans="2:22">
      <c r="B45" s="9">
        <f t="shared" si="1"/>
        <v>43</v>
      </c>
      <c r="C45" s="19"/>
      <c r="D45" s="25"/>
      <c r="E45" s="20"/>
      <c r="F45" s="26"/>
      <c r="G45" s="31" t="s">
        <v>162</v>
      </c>
      <c r="H45" s="15" t="s">
        <v>247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9" t="s">
        <v>172</v>
      </c>
      <c r="T45" s="18" t="s">
        <v>156</v>
      </c>
      <c r="U45" s="9"/>
      <c r="V45" s="9"/>
    </row>
    <row r="46" spans="2:22">
      <c r="B46" s="9">
        <f t="shared" si="1"/>
        <v>44</v>
      </c>
      <c r="C46" s="19"/>
      <c r="D46" s="25"/>
      <c r="E46" s="20"/>
      <c r="F46" s="26"/>
      <c r="G46" s="15"/>
      <c r="H46" s="15" t="s">
        <v>213</v>
      </c>
      <c r="I46" s="15"/>
      <c r="J46" s="15"/>
      <c r="K46" s="15"/>
      <c r="L46" s="15"/>
      <c r="M46" s="15"/>
      <c r="N46" s="15"/>
      <c r="O46" s="15"/>
      <c r="P46" s="15"/>
      <c r="Q46" s="15"/>
      <c r="R46" s="16"/>
      <c r="S46" s="9" t="s">
        <v>152</v>
      </c>
      <c r="T46" s="18" t="s">
        <v>156</v>
      </c>
      <c r="U46" s="9"/>
      <c r="V46" s="9"/>
    </row>
    <row r="47" spans="2:22">
      <c r="B47" s="9">
        <f t="shared" si="1"/>
        <v>45</v>
      </c>
      <c r="C47" s="19"/>
      <c r="D47" s="25"/>
      <c r="E47" s="20"/>
      <c r="F47" s="26" t="s">
        <v>30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7"/>
      <c r="S47" s="28" t="s">
        <v>155</v>
      </c>
      <c r="T47" s="29" t="s">
        <v>156</v>
      </c>
      <c r="U47" s="30"/>
      <c r="V47" s="30"/>
    </row>
    <row r="48" spans="2:22">
      <c r="B48" s="9">
        <f t="shared" si="1"/>
        <v>46</v>
      </c>
      <c r="C48" s="19"/>
      <c r="D48" s="25"/>
      <c r="E48" s="20"/>
      <c r="F48" s="26"/>
      <c r="G48" s="15" t="s">
        <v>248</v>
      </c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9" t="s">
        <v>159</v>
      </c>
      <c r="T48" s="18" t="s">
        <v>156</v>
      </c>
      <c r="U48" s="9"/>
      <c r="V48" s="9"/>
    </row>
    <row r="49" spans="2:22">
      <c r="B49" s="9">
        <f t="shared" si="1"/>
        <v>47</v>
      </c>
      <c r="C49" s="19"/>
      <c r="D49" s="25"/>
      <c r="E49" s="20"/>
      <c r="F49" s="15" t="s">
        <v>249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6"/>
      <c r="S49" s="9" t="s">
        <v>152</v>
      </c>
      <c r="T49" s="18" t="s">
        <v>156</v>
      </c>
      <c r="U49" s="9"/>
      <c r="V49" s="9"/>
    </row>
    <row r="50" spans="2:22">
      <c r="B50" s="9">
        <f t="shared" si="1"/>
        <v>48</v>
      </c>
      <c r="C50" s="19"/>
      <c r="D50" s="25"/>
      <c r="E50" s="20"/>
      <c r="F50" s="15" t="s">
        <v>250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9" t="s">
        <v>152</v>
      </c>
      <c r="T50" s="18" t="s">
        <v>156</v>
      </c>
      <c r="U50" s="9"/>
      <c r="V50" s="9"/>
    </row>
    <row r="51" spans="2:22">
      <c r="B51" s="9">
        <f t="shared" si="1"/>
        <v>49</v>
      </c>
      <c r="C51" s="19"/>
      <c r="D51" s="25"/>
      <c r="E51" s="20"/>
      <c r="F51" s="15" t="s">
        <v>251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9" t="s">
        <v>152</v>
      </c>
      <c r="T51" s="18" t="s">
        <v>156</v>
      </c>
      <c r="U51" s="9"/>
      <c r="V51" s="9"/>
    </row>
    <row r="52" spans="2:22">
      <c r="B52" s="9">
        <f t="shared" si="1"/>
        <v>50</v>
      </c>
      <c r="C52" s="19"/>
      <c r="D52" s="25"/>
      <c r="E52" s="20"/>
      <c r="F52" s="15" t="s">
        <v>252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6"/>
      <c r="S52" s="9" t="s">
        <v>152</v>
      </c>
      <c r="T52" s="18" t="s">
        <v>156</v>
      </c>
      <c r="U52" s="9"/>
      <c r="V52" s="9"/>
    </row>
    <row r="53" spans="2:22">
      <c r="B53" s="9">
        <f t="shared" si="1"/>
        <v>51</v>
      </c>
      <c r="C53" s="19"/>
      <c r="D53" s="25"/>
      <c r="E53" s="20"/>
      <c r="F53" s="15" t="s">
        <v>253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6"/>
      <c r="S53" s="9" t="s">
        <v>152</v>
      </c>
      <c r="T53" s="18" t="s">
        <v>156</v>
      </c>
      <c r="U53" s="9"/>
      <c r="V53" s="9"/>
    </row>
    <row r="54" spans="2:22">
      <c r="B54" s="9">
        <f t="shared" si="1"/>
        <v>52</v>
      </c>
      <c r="C54" s="19"/>
      <c r="D54" s="25"/>
      <c r="E54" s="20"/>
      <c r="F54" s="15" t="s">
        <v>254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6"/>
      <c r="S54" s="9" t="s">
        <v>152</v>
      </c>
      <c r="T54" s="18" t="s">
        <v>156</v>
      </c>
      <c r="U54" s="9"/>
      <c r="V54" s="9"/>
    </row>
    <row r="55" spans="2:22">
      <c r="B55" s="9">
        <f t="shared" si="1"/>
        <v>53</v>
      </c>
      <c r="C55" s="19"/>
      <c r="D55" s="25"/>
      <c r="E55" s="20"/>
      <c r="F55" s="15" t="s">
        <v>255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6"/>
      <c r="S55" s="9" t="s">
        <v>172</v>
      </c>
      <c r="T55" s="18" t="s">
        <v>156</v>
      </c>
      <c r="U55" s="9"/>
      <c r="V55" s="9"/>
    </row>
    <row r="56" spans="2:22">
      <c r="B56" s="9">
        <f t="shared" si="1"/>
        <v>54</v>
      </c>
      <c r="C56" s="19"/>
      <c r="D56" s="25"/>
      <c r="E56" s="20"/>
      <c r="F56" s="26" t="s">
        <v>39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7"/>
      <c r="S56" s="28" t="s">
        <v>155</v>
      </c>
      <c r="T56" s="29" t="s">
        <v>156</v>
      </c>
      <c r="U56" s="30"/>
      <c r="V56" s="30"/>
    </row>
    <row r="57" spans="2:22">
      <c r="B57" s="9">
        <f t="shared" si="1"/>
        <v>55</v>
      </c>
      <c r="C57" s="19"/>
      <c r="D57" s="25"/>
      <c r="E57" s="20"/>
      <c r="F57" s="26"/>
      <c r="G57" s="31" t="s">
        <v>162</v>
      </c>
      <c r="H57" s="15" t="s">
        <v>256</v>
      </c>
      <c r="I57" s="15"/>
      <c r="J57" s="15"/>
      <c r="K57" s="15"/>
      <c r="L57" s="15"/>
      <c r="M57" s="15"/>
      <c r="N57" s="15"/>
      <c r="O57" s="15"/>
      <c r="P57" s="15"/>
      <c r="Q57" s="15"/>
      <c r="R57" s="16"/>
      <c r="S57" s="9" t="s">
        <v>152</v>
      </c>
      <c r="T57" s="18" t="s">
        <v>156</v>
      </c>
      <c r="U57" s="9"/>
      <c r="V57" s="9"/>
    </row>
    <row r="58" spans="2:22">
      <c r="B58" s="9">
        <f t="shared" si="1"/>
        <v>56</v>
      </c>
      <c r="C58" s="19"/>
      <c r="D58" s="25"/>
      <c r="E58" s="20"/>
      <c r="F58" s="26"/>
      <c r="G58" s="31" t="s">
        <v>162</v>
      </c>
      <c r="H58" s="15" t="s">
        <v>256</v>
      </c>
      <c r="I58" s="15"/>
      <c r="J58" s="15"/>
      <c r="K58" s="15"/>
      <c r="L58" s="15"/>
      <c r="M58" s="15"/>
      <c r="N58" s="15"/>
      <c r="O58" s="15"/>
      <c r="P58" s="15"/>
      <c r="Q58" s="15"/>
      <c r="R58" s="16"/>
      <c r="S58" s="9" t="s">
        <v>152</v>
      </c>
      <c r="T58" s="18" t="s">
        <v>156</v>
      </c>
      <c r="U58" s="9"/>
      <c r="V58" s="9"/>
    </row>
    <row r="59" spans="2:22">
      <c r="B59" s="9">
        <f t="shared" si="1"/>
        <v>57</v>
      </c>
      <c r="C59" s="19"/>
      <c r="D59" s="25"/>
      <c r="E59" s="20"/>
      <c r="F59" s="15" t="s">
        <v>257</v>
      </c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6"/>
      <c r="S59" s="9" t="s">
        <v>152</v>
      </c>
      <c r="T59" s="18" t="s">
        <v>156</v>
      </c>
      <c r="U59" s="9"/>
      <c r="V59" s="9"/>
    </row>
    <row r="60" spans="2:22">
      <c r="B60" s="9">
        <f t="shared" si="1"/>
        <v>58</v>
      </c>
      <c r="C60" s="19"/>
      <c r="D60" s="25"/>
      <c r="E60" s="20"/>
      <c r="F60" s="15" t="s">
        <v>258</v>
      </c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6"/>
      <c r="S60" s="9" t="s">
        <v>152</v>
      </c>
      <c r="T60" s="18" t="s">
        <v>156</v>
      </c>
      <c r="U60" s="9"/>
      <c r="V60" s="9"/>
    </row>
    <row r="61" spans="2:22">
      <c r="B61" s="9">
        <f t="shared" si="1"/>
        <v>59</v>
      </c>
      <c r="C61" s="19"/>
      <c r="D61" s="25"/>
      <c r="E61" s="20"/>
      <c r="F61" s="26" t="s">
        <v>43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7"/>
      <c r="S61" s="28" t="s">
        <v>155</v>
      </c>
      <c r="T61" s="29" t="s">
        <v>156</v>
      </c>
      <c r="U61" s="30"/>
      <c r="V61" s="30"/>
    </row>
    <row r="62" spans="2:22">
      <c r="B62" s="9">
        <f t="shared" si="1"/>
        <v>60</v>
      </c>
      <c r="C62" s="19"/>
      <c r="D62" s="25"/>
      <c r="E62" s="20"/>
      <c r="F62" s="26"/>
      <c r="G62" s="15" t="s">
        <v>259</v>
      </c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6"/>
      <c r="S62" s="9" t="s">
        <v>152</v>
      </c>
      <c r="T62" s="18" t="s">
        <v>156</v>
      </c>
      <c r="U62" s="9"/>
      <c r="V62" s="9"/>
    </row>
    <row r="63" spans="2:22">
      <c r="B63" s="9">
        <f t="shared" si="1"/>
        <v>61</v>
      </c>
      <c r="C63" s="19"/>
      <c r="D63" s="25"/>
      <c r="E63" s="20"/>
      <c r="F63" s="26"/>
      <c r="G63" s="15" t="s">
        <v>260</v>
      </c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6"/>
      <c r="S63" s="9" t="s">
        <v>152</v>
      </c>
      <c r="T63" s="18" t="s">
        <v>156</v>
      </c>
      <c r="U63" s="9"/>
      <c r="V63" s="9"/>
    </row>
    <row r="64" spans="2:22">
      <c r="B64" s="9">
        <f t="shared" si="1"/>
        <v>62</v>
      </c>
      <c r="C64" s="19"/>
      <c r="D64" s="25"/>
      <c r="E64" s="20"/>
      <c r="F64" s="26"/>
      <c r="G64" s="15" t="s">
        <v>261</v>
      </c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6"/>
      <c r="S64" s="9" t="s">
        <v>152</v>
      </c>
      <c r="T64" s="18" t="s">
        <v>156</v>
      </c>
      <c r="U64" s="9"/>
      <c r="V64" s="9"/>
    </row>
    <row r="65" spans="2:22">
      <c r="B65" s="9">
        <f t="shared" si="1"/>
        <v>63</v>
      </c>
      <c r="C65" s="19"/>
      <c r="D65" s="25"/>
      <c r="E65" s="20"/>
      <c r="F65" s="26" t="s">
        <v>47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7"/>
      <c r="S65" s="28" t="s">
        <v>155</v>
      </c>
      <c r="T65" s="29" t="s">
        <v>156</v>
      </c>
      <c r="U65" s="30"/>
      <c r="V65" s="30"/>
    </row>
    <row r="66" spans="2:22">
      <c r="B66" s="9">
        <f t="shared" si="1"/>
        <v>64</v>
      </c>
      <c r="C66" s="19"/>
      <c r="D66" s="25"/>
      <c r="E66" s="20"/>
      <c r="F66" s="26"/>
      <c r="G66" s="31" t="s">
        <v>162</v>
      </c>
      <c r="H66" s="15" t="s">
        <v>262</v>
      </c>
      <c r="I66" s="15"/>
      <c r="J66" s="15"/>
      <c r="K66" s="15"/>
      <c r="L66" s="15"/>
      <c r="M66" s="15"/>
      <c r="N66" s="15"/>
      <c r="O66" s="15"/>
      <c r="P66" s="15"/>
      <c r="Q66" s="15"/>
      <c r="R66" s="16"/>
      <c r="S66" s="9" t="s">
        <v>152</v>
      </c>
      <c r="T66" s="18" t="s">
        <v>156</v>
      </c>
      <c r="U66" s="9"/>
      <c r="V66" s="9"/>
    </row>
    <row r="67" spans="2:22">
      <c r="B67" s="9">
        <f t="shared" ref="B67:B98" si="2">ROW()-2</f>
        <v>65</v>
      </c>
      <c r="C67" s="19"/>
      <c r="D67" s="25"/>
      <c r="E67" s="20"/>
      <c r="F67" s="26"/>
      <c r="G67" s="31" t="s">
        <v>162</v>
      </c>
      <c r="H67" s="15" t="s">
        <v>262</v>
      </c>
      <c r="I67" s="15"/>
      <c r="J67" s="15"/>
      <c r="K67" s="15"/>
      <c r="L67" s="15"/>
      <c r="M67" s="15"/>
      <c r="N67" s="15"/>
      <c r="O67" s="15"/>
      <c r="P67" s="15"/>
      <c r="Q67" s="15"/>
      <c r="R67" s="16"/>
      <c r="S67" s="9" t="s">
        <v>152</v>
      </c>
      <c r="T67" s="18" t="s">
        <v>156</v>
      </c>
      <c r="U67" s="9"/>
      <c r="V67" s="9"/>
    </row>
    <row r="68" spans="2:22">
      <c r="B68" s="9">
        <f t="shared" si="2"/>
        <v>66</v>
      </c>
      <c r="C68" s="19"/>
      <c r="D68" s="25"/>
      <c r="E68" s="20"/>
      <c r="F68" s="15" t="s">
        <v>263</v>
      </c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6"/>
      <c r="S68" s="9" t="s">
        <v>159</v>
      </c>
      <c r="T68" s="18" t="s">
        <v>156</v>
      </c>
      <c r="U68" s="9"/>
      <c r="V68" s="9"/>
    </row>
    <row r="69" spans="2:22">
      <c r="B69" s="9">
        <f t="shared" si="2"/>
        <v>67</v>
      </c>
      <c r="C69" s="19"/>
      <c r="D69" s="25"/>
      <c r="E69" s="20"/>
      <c r="F69" s="26" t="s">
        <v>50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7"/>
      <c r="S69" s="28" t="s">
        <v>155</v>
      </c>
      <c r="T69" s="29" t="s">
        <v>156</v>
      </c>
      <c r="U69" s="30"/>
      <c r="V69" s="30"/>
    </row>
    <row r="70" spans="2:22">
      <c r="B70" s="9">
        <f t="shared" si="2"/>
        <v>68</v>
      </c>
      <c r="C70" s="19"/>
      <c r="D70" s="25"/>
      <c r="E70" s="20"/>
      <c r="F70" s="26"/>
      <c r="G70" s="31" t="s">
        <v>162</v>
      </c>
      <c r="H70" s="15" t="s">
        <v>264</v>
      </c>
      <c r="I70" s="15"/>
      <c r="J70" s="15"/>
      <c r="K70" s="15"/>
      <c r="L70" s="15"/>
      <c r="M70" s="15"/>
      <c r="N70" s="15"/>
      <c r="O70" s="15"/>
      <c r="P70" s="15"/>
      <c r="Q70" s="15"/>
      <c r="R70" s="16"/>
      <c r="S70" s="9" t="s">
        <v>159</v>
      </c>
      <c r="T70" s="18" t="s">
        <v>156</v>
      </c>
      <c r="U70" s="9"/>
      <c r="V70" s="9"/>
    </row>
    <row r="71" spans="2:22">
      <c r="B71" s="9">
        <f t="shared" si="2"/>
        <v>69</v>
      </c>
      <c r="C71" s="19"/>
      <c r="D71" s="25"/>
      <c r="E71" s="20"/>
      <c r="F71" s="26"/>
      <c r="G71" s="15"/>
      <c r="H71" s="15" t="s">
        <v>233</v>
      </c>
      <c r="I71" s="15"/>
      <c r="J71" s="15"/>
      <c r="K71" s="15"/>
      <c r="L71" s="15"/>
      <c r="M71" s="15"/>
      <c r="N71" s="15"/>
      <c r="O71" s="15"/>
      <c r="P71" s="15"/>
      <c r="Q71" s="15"/>
      <c r="R71" s="16"/>
      <c r="S71" s="9" t="s">
        <v>159</v>
      </c>
      <c r="T71" s="18" t="s">
        <v>156</v>
      </c>
      <c r="U71" s="9"/>
      <c r="V71" s="9"/>
    </row>
    <row r="72" spans="2:22">
      <c r="B72" s="9">
        <f t="shared" si="2"/>
        <v>70</v>
      </c>
      <c r="C72" s="19"/>
      <c r="D72" s="25"/>
      <c r="E72" s="20"/>
      <c r="F72" s="26"/>
      <c r="G72" s="15"/>
      <c r="H72" s="15" t="s">
        <v>197</v>
      </c>
      <c r="I72" s="15"/>
      <c r="J72" s="15"/>
      <c r="K72" s="15"/>
      <c r="L72" s="15"/>
      <c r="M72" s="15"/>
      <c r="N72" s="15"/>
      <c r="O72" s="15"/>
      <c r="P72" s="15"/>
      <c r="Q72" s="15"/>
      <c r="R72" s="16"/>
      <c r="S72" s="9" t="s">
        <v>152</v>
      </c>
      <c r="T72" s="18" t="s">
        <v>156</v>
      </c>
      <c r="U72" s="9"/>
      <c r="V72" s="9"/>
    </row>
    <row r="73" spans="2:22">
      <c r="B73" s="9">
        <f t="shared" si="2"/>
        <v>71</v>
      </c>
      <c r="C73" s="19"/>
      <c r="D73" s="25"/>
      <c r="E73" s="20"/>
      <c r="F73" s="26"/>
      <c r="G73" s="15"/>
      <c r="H73" s="15" t="s">
        <v>265</v>
      </c>
      <c r="I73" s="15"/>
      <c r="J73" s="15"/>
      <c r="K73" s="15"/>
      <c r="L73" s="15"/>
      <c r="M73" s="15"/>
      <c r="N73" s="15"/>
      <c r="O73" s="15"/>
      <c r="P73" s="15"/>
      <c r="Q73" s="15"/>
      <c r="R73" s="16"/>
      <c r="S73" s="9" t="s">
        <v>152</v>
      </c>
      <c r="T73" s="18" t="s">
        <v>156</v>
      </c>
      <c r="U73" s="9"/>
      <c r="V73" s="9"/>
    </row>
    <row r="74" spans="2:22">
      <c r="B74" s="9">
        <f t="shared" si="2"/>
        <v>72</v>
      </c>
      <c r="C74" s="19"/>
      <c r="D74" s="25"/>
      <c r="E74" s="20"/>
      <c r="F74" s="26"/>
      <c r="G74" s="15"/>
      <c r="H74" s="32" t="s">
        <v>54</v>
      </c>
      <c r="I74" s="32"/>
      <c r="J74" s="32"/>
      <c r="K74" s="32"/>
      <c r="L74" s="32"/>
      <c r="M74" s="32"/>
      <c r="N74" s="32"/>
      <c r="O74" s="32"/>
      <c r="P74" s="32"/>
      <c r="Q74" s="32"/>
      <c r="R74" s="33"/>
      <c r="S74" s="34" t="s">
        <v>155</v>
      </c>
      <c r="T74" s="35" t="s">
        <v>156</v>
      </c>
      <c r="U74" s="36"/>
      <c r="V74" s="36"/>
    </row>
    <row r="75" spans="2:22">
      <c r="B75" s="9">
        <f t="shared" si="2"/>
        <v>73</v>
      </c>
      <c r="C75" s="19"/>
      <c r="D75" s="25"/>
      <c r="E75" s="20"/>
      <c r="F75" s="26"/>
      <c r="G75" s="15"/>
      <c r="H75" s="32"/>
      <c r="I75" s="31" t="s">
        <v>162</v>
      </c>
      <c r="J75" s="37" t="s">
        <v>155</v>
      </c>
      <c r="K75" s="15"/>
      <c r="L75" s="15"/>
      <c r="M75" s="15"/>
      <c r="N75" s="15"/>
      <c r="O75" s="15"/>
      <c r="P75" s="15"/>
      <c r="Q75" s="15"/>
      <c r="R75" s="16"/>
      <c r="S75" s="9" t="s">
        <v>152</v>
      </c>
      <c r="T75" s="9"/>
      <c r="U75" s="9"/>
      <c r="V75" s="9"/>
    </row>
    <row r="76" spans="2:22">
      <c r="B76" s="9">
        <f t="shared" si="2"/>
        <v>74</v>
      </c>
      <c r="C76" s="19"/>
      <c r="D76" s="25"/>
      <c r="E76" s="20"/>
      <c r="F76" s="26"/>
      <c r="G76" s="15"/>
      <c r="H76" s="32"/>
      <c r="I76" s="31" t="s">
        <v>162</v>
      </c>
      <c r="J76" s="37" t="s">
        <v>155</v>
      </c>
      <c r="K76" s="15"/>
      <c r="L76" s="15"/>
      <c r="M76" s="15"/>
      <c r="N76" s="15"/>
      <c r="O76" s="15"/>
      <c r="P76" s="15"/>
      <c r="Q76" s="15"/>
      <c r="R76" s="16"/>
      <c r="S76" s="9" t="s">
        <v>152</v>
      </c>
      <c r="T76" s="9"/>
      <c r="U76" s="9"/>
      <c r="V76" s="9"/>
    </row>
    <row r="77" spans="2:22">
      <c r="B77" s="9">
        <f t="shared" si="2"/>
        <v>75</v>
      </c>
      <c r="C77" s="19"/>
      <c r="D77" s="25"/>
      <c r="E77" s="20"/>
      <c r="F77" s="26"/>
      <c r="G77" s="15"/>
      <c r="H77" s="15" t="s">
        <v>255</v>
      </c>
      <c r="I77" s="15"/>
      <c r="J77" s="15"/>
      <c r="K77" s="15"/>
      <c r="L77" s="15"/>
      <c r="M77" s="15"/>
      <c r="N77" s="15"/>
      <c r="O77" s="15"/>
      <c r="P77" s="15"/>
      <c r="Q77" s="15"/>
      <c r="R77" s="16"/>
      <c r="S77" s="9" t="s">
        <v>172</v>
      </c>
      <c r="T77" s="18" t="s">
        <v>156</v>
      </c>
      <c r="U77" s="9"/>
      <c r="V77" s="9"/>
    </row>
    <row r="78" spans="2:22">
      <c r="B78" s="9">
        <f t="shared" si="2"/>
        <v>76</v>
      </c>
      <c r="C78" s="19"/>
      <c r="D78" s="25"/>
      <c r="E78" s="20"/>
      <c r="F78" s="26"/>
      <c r="G78" s="15"/>
      <c r="H78" s="32" t="s">
        <v>39</v>
      </c>
      <c r="I78" s="32"/>
      <c r="J78" s="32"/>
      <c r="K78" s="32"/>
      <c r="L78" s="32"/>
      <c r="M78" s="32"/>
      <c r="N78" s="32"/>
      <c r="O78" s="32"/>
      <c r="P78" s="32"/>
      <c r="Q78" s="32"/>
      <c r="R78" s="33"/>
      <c r="S78" s="34" t="s">
        <v>155</v>
      </c>
      <c r="T78" s="35" t="s">
        <v>156</v>
      </c>
      <c r="U78" s="36"/>
      <c r="V78" s="36"/>
    </row>
    <row r="79" spans="2:22">
      <c r="B79" s="9">
        <f t="shared" si="2"/>
        <v>77</v>
      </c>
      <c r="C79" s="19"/>
      <c r="D79" s="25"/>
      <c r="E79" s="20"/>
      <c r="F79" s="26"/>
      <c r="G79" s="15"/>
      <c r="H79" s="32"/>
      <c r="I79" s="31" t="s">
        <v>162</v>
      </c>
      <c r="J79" s="15" t="s">
        <v>256</v>
      </c>
      <c r="K79" s="15"/>
      <c r="L79" s="15"/>
      <c r="M79" s="15"/>
      <c r="N79" s="15"/>
      <c r="O79" s="15"/>
      <c r="P79" s="15"/>
      <c r="Q79" s="15"/>
      <c r="R79" s="16"/>
      <c r="S79" s="9" t="s">
        <v>152</v>
      </c>
      <c r="T79" s="18" t="s">
        <v>156</v>
      </c>
      <c r="U79" s="9"/>
      <c r="V79" s="9"/>
    </row>
    <row r="80" spans="2:22">
      <c r="B80" s="9">
        <f t="shared" si="2"/>
        <v>78</v>
      </c>
      <c r="C80" s="19"/>
      <c r="D80" s="25"/>
      <c r="E80" s="20"/>
      <c r="F80" s="26"/>
      <c r="G80" s="15"/>
      <c r="H80" s="32"/>
      <c r="I80" s="31" t="s">
        <v>162</v>
      </c>
      <c r="J80" s="15" t="s">
        <v>256</v>
      </c>
      <c r="K80" s="15"/>
      <c r="L80" s="15"/>
      <c r="M80" s="15"/>
      <c r="N80" s="15"/>
      <c r="O80" s="15"/>
      <c r="P80" s="15"/>
      <c r="Q80" s="15"/>
      <c r="R80" s="16"/>
      <c r="S80" s="9" t="s">
        <v>152</v>
      </c>
      <c r="T80" s="18" t="s">
        <v>156</v>
      </c>
      <c r="U80" s="9"/>
      <c r="V80" s="9"/>
    </row>
    <row r="81" spans="2:22">
      <c r="B81" s="9">
        <f t="shared" si="2"/>
        <v>79</v>
      </c>
      <c r="C81" s="19"/>
      <c r="D81" s="25"/>
      <c r="E81" s="20"/>
      <c r="F81" s="26"/>
      <c r="G81" s="15"/>
      <c r="H81" s="15" t="s">
        <v>185</v>
      </c>
      <c r="I81" s="15"/>
      <c r="J81" s="15"/>
      <c r="K81" s="15"/>
      <c r="L81" s="15"/>
      <c r="M81" s="15"/>
      <c r="N81" s="15"/>
      <c r="O81" s="15"/>
      <c r="P81" s="15"/>
      <c r="Q81" s="15"/>
      <c r="R81" s="16"/>
      <c r="S81" s="9" t="s">
        <v>152</v>
      </c>
      <c r="T81" s="18" t="s">
        <v>156</v>
      </c>
      <c r="U81" s="9"/>
      <c r="V81" s="9"/>
    </row>
    <row r="82" spans="2:22">
      <c r="B82" s="9">
        <f t="shared" si="2"/>
        <v>80</v>
      </c>
      <c r="C82" s="19"/>
      <c r="D82" s="25"/>
      <c r="E82" s="20"/>
      <c r="F82" s="26"/>
      <c r="G82" s="15"/>
      <c r="H82" s="15" t="s">
        <v>266</v>
      </c>
      <c r="I82" s="15"/>
      <c r="J82" s="15"/>
      <c r="K82" s="15"/>
      <c r="L82" s="15"/>
      <c r="M82" s="15"/>
      <c r="N82" s="15"/>
      <c r="O82" s="15"/>
      <c r="P82" s="15"/>
      <c r="Q82" s="15"/>
      <c r="R82" s="16"/>
      <c r="S82" s="9" t="s">
        <v>152</v>
      </c>
      <c r="T82" s="18" t="s">
        <v>156</v>
      </c>
      <c r="U82" s="9"/>
      <c r="V82" s="9"/>
    </row>
    <row r="83" spans="2:22">
      <c r="B83" s="9">
        <f t="shared" si="2"/>
        <v>81</v>
      </c>
      <c r="C83" s="19"/>
      <c r="D83" s="25"/>
      <c r="E83" s="20"/>
      <c r="F83" s="26"/>
      <c r="G83" s="15"/>
      <c r="H83" s="32" t="s">
        <v>60</v>
      </c>
      <c r="I83" s="32"/>
      <c r="J83" s="32"/>
      <c r="K83" s="32"/>
      <c r="L83" s="32"/>
      <c r="M83" s="32"/>
      <c r="N83" s="32"/>
      <c r="O83" s="32"/>
      <c r="P83" s="32"/>
      <c r="Q83" s="32"/>
      <c r="R83" s="33"/>
      <c r="S83" s="34" t="s">
        <v>155</v>
      </c>
      <c r="T83" s="35" t="s">
        <v>156</v>
      </c>
      <c r="U83" s="36"/>
      <c r="V83" s="36"/>
    </row>
    <row r="84" spans="2:22">
      <c r="B84" s="9">
        <f t="shared" si="2"/>
        <v>82</v>
      </c>
      <c r="C84" s="19"/>
      <c r="D84" s="25"/>
      <c r="E84" s="20"/>
      <c r="F84" s="26"/>
      <c r="G84" s="15"/>
      <c r="H84" s="32"/>
      <c r="I84" s="31" t="s">
        <v>162</v>
      </c>
      <c r="J84" s="15" t="s">
        <v>267</v>
      </c>
      <c r="K84" s="15"/>
      <c r="L84" s="15"/>
      <c r="M84" s="15"/>
      <c r="N84" s="15"/>
      <c r="O84" s="15"/>
      <c r="P84" s="15"/>
      <c r="Q84" s="15"/>
      <c r="R84" s="16"/>
      <c r="S84" s="9" t="s">
        <v>159</v>
      </c>
      <c r="T84" s="18" t="s">
        <v>156</v>
      </c>
      <c r="U84" s="9"/>
      <c r="V84" s="9"/>
    </row>
    <row r="85" spans="2:22">
      <c r="B85" s="9">
        <f t="shared" si="2"/>
        <v>83</v>
      </c>
      <c r="C85" s="19"/>
      <c r="D85" s="25"/>
      <c r="E85" s="20"/>
      <c r="F85" s="26"/>
      <c r="G85" s="15"/>
      <c r="H85" s="32"/>
      <c r="I85" s="15"/>
      <c r="J85" s="15" t="s">
        <v>266</v>
      </c>
      <c r="K85" s="15"/>
      <c r="L85" s="15"/>
      <c r="M85" s="15"/>
      <c r="N85" s="15"/>
      <c r="O85" s="15"/>
      <c r="P85" s="15"/>
      <c r="Q85" s="15"/>
      <c r="R85" s="16"/>
      <c r="S85" s="9" t="s">
        <v>152</v>
      </c>
      <c r="T85" s="18" t="s">
        <v>156</v>
      </c>
      <c r="U85" s="9"/>
      <c r="V85" s="9"/>
    </row>
    <row r="86" spans="2:22">
      <c r="B86" s="9">
        <f t="shared" si="2"/>
        <v>84</v>
      </c>
      <c r="C86" s="19"/>
      <c r="D86" s="25"/>
      <c r="E86" s="20"/>
      <c r="F86" s="26"/>
      <c r="G86" s="15"/>
      <c r="H86" s="32"/>
      <c r="I86" s="31" t="s">
        <v>162</v>
      </c>
      <c r="J86" s="15" t="s">
        <v>267</v>
      </c>
      <c r="K86" s="15"/>
      <c r="L86" s="15"/>
      <c r="M86" s="15"/>
      <c r="N86" s="15"/>
      <c r="O86" s="15"/>
      <c r="P86" s="15"/>
      <c r="Q86" s="15"/>
      <c r="R86" s="16"/>
      <c r="S86" s="9" t="s">
        <v>159</v>
      </c>
      <c r="T86" s="18" t="s">
        <v>156</v>
      </c>
      <c r="U86" s="9"/>
      <c r="V86" s="9"/>
    </row>
    <row r="87" spans="2:22">
      <c r="B87" s="9">
        <f t="shared" si="2"/>
        <v>85</v>
      </c>
      <c r="C87" s="19"/>
      <c r="D87" s="25"/>
      <c r="E87" s="20"/>
      <c r="F87" s="26"/>
      <c r="G87" s="15"/>
      <c r="H87" s="32"/>
      <c r="I87" s="15"/>
      <c r="J87" s="15" t="s">
        <v>266</v>
      </c>
      <c r="K87" s="15"/>
      <c r="L87" s="15"/>
      <c r="M87" s="15"/>
      <c r="N87" s="15"/>
      <c r="O87" s="15"/>
      <c r="P87" s="15"/>
      <c r="Q87" s="15"/>
      <c r="R87" s="16"/>
      <c r="S87" s="9" t="s">
        <v>152</v>
      </c>
      <c r="T87" s="18" t="s">
        <v>156</v>
      </c>
      <c r="U87" s="9"/>
      <c r="V87" s="9"/>
    </row>
    <row r="88" spans="2:22">
      <c r="B88" s="9">
        <f t="shared" si="2"/>
        <v>86</v>
      </c>
      <c r="C88" s="19"/>
      <c r="D88" s="25"/>
      <c r="E88" s="20"/>
      <c r="F88" s="26"/>
      <c r="G88" s="15"/>
      <c r="H88" s="15" t="s">
        <v>268</v>
      </c>
      <c r="I88" s="15"/>
      <c r="J88" s="15"/>
      <c r="K88" s="15"/>
      <c r="L88" s="15"/>
      <c r="M88" s="15"/>
      <c r="N88" s="15"/>
      <c r="O88" s="15"/>
      <c r="P88" s="15"/>
      <c r="Q88" s="15"/>
      <c r="R88" s="16"/>
      <c r="S88" s="9" t="s">
        <v>172</v>
      </c>
      <c r="T88" s="18" t="s">
        <v>156</v>
      </c>
      <c r="U88" s="9"/>
      <c r="V88" s="9"/>
    </row>
    <row r="89" spans="2:22">
      <c r="B89" s="9">
        <f t="shared" si="2"/>
        <v>87</v>
      </c>
      <c r="C89" s="19"/>
      <c r="D89" s="25"/>
      <c r="E89" s="20"/>
      <c r="F89" s="26"/>
      <c r="G89" s="15"/>
      <c r="H89" s="15" t="s">
        <v>190</v>
      </c>
      <c r="I89" s="15"/>
      <c r="J89" s="15"/>
      <c r="K89" s="15"/>
      <c r="L89" s="15"/>
      <c r="M89" s="15"/>
      <c r="N89" s="15"/>
      <c r="O89" s="15"/>
      <c r="P89" s="15"/>
      <c r="Q89" s="15"/>
      <c r="R89" s="16"/>
      <c r="S89" s="9" t="s">
        <v>152</v>
      </c>
      <c r="T89" s="18" t="s">
        <v>156</v>
      </c>
      <c r="U89" s="9"/>
      <c r="V89" s="9"/>
    </row>
    <row r="90" spans="2:22">
      <c r="B90" s="9">
        <f t="shared" si="2"/>
        <v>88</v>
      </c>
      <c r="C90" s="19"/>
      <c r="D90" s="25"/>
      <c r="E90" s="20"/>
      <c r="F90" s="26"/>
      <c r="G90" s="31" t="s">
        <v>162</v>
      </c>
      <c r="H90" s="15" t="s">
        <v>264</v>
      </c>
      <c r="I90" s="15"/>
      <c r="J90" s="15"/>
      <c r="K90" s="15"/>
      <c r="L90" s="15"/>
      <c r="M90" s="15"/>
      <c r="N90" s="15"/>
      <c r="O90" s="15"/>
      <c r="P90" s="15"/>
      <c r="Q90" s="15"/>
      <c r="R90" s="16"/>
      <c r="S90" s="9" t="s">
        <v>159</v>
      </c>
      <c r="T90" s="18" t="s">
        <v>156</v>
      </c>
      <c r="U90" s="9"/>
      <c r="V90" s="9"/>
    </row>
    <row r="91" spans="2:22">
      <c r="B91" s="9">
        <f t="shared" si="2"/>
        <v>89</v>
      </c>
      <c r="C91" s="19"/>
      <c r="D91" s="25"/>
      <c r="E91" s="20"/>
      <c r="F91" s="26"/>
      <c r="G91" s="15"/>
      <c r="H91" s="15" t="s">
        <v>233</v>
      </c>
      <c r="I91" s="15"/>
      <c r="J91" s="15"/>
      <c r="K91" s="15"/>
      <c r="L91" s="15"/>
      <c r="M91" s="15"/>
      <c r="N91" s="15"/>
      <c r="O91" s="15"/>
      <c r="P91" s="15"/>
      <c r="Q91" s="15"/>
      <c r="R91" s="16"/>
      <c r="S91" s="9" t="s">
        <v>159</v>
      </c>
      <c r="T91" s="18" t="s">
        <v>156</v>
      </c>
      <c r="U91" s="9"/>
      <c r="V91" s="9"/>
    </row>
    <row r="92" spans="2:22">
      <c r="B92" s="9">
        <f t="shared" si="2"/>
        <v>90</v>
      </c>
      <c r="C92" s="19"/>
      <c r="D92" s="25"/>
      <c r="E92" s="20"/>
      <c r="F92" s="26"/>
      <c r="G92" s="15"/>
      <c r="H92" s="15" t="s">
        <v>197</v>
      </c>
      <c r="I92" s="15"/>
      <c r="J92" s="15"/>
      <c r="K92" s="15"/>
      <c r="L92" s="15"/>
      <c r="M92" s="15"/>
      <c r="N92" s="15"/>
      <c r="O92" s="15"/>
      <c r="P92" s="15"/>
      <c r="Q92" s="15"/>
      <c r="R92" s="16"/>
      <c r="S92" s="9" t="s">
        <v>152</v>
      </c>
      <c r="T92" s="18" t="s">
        <v>156</v>
      </c>
      <c r="U92" s="9"/>
      <c r="V92" s="9"/>
    </row>
    <row r="93" spans="2:22">
      <c r="B93" s="9">
        <f t="shared" si="2"/>
        <v>91</v>
      </c>
      <c r="C93" s="19"/>
      <c r="D93" s="25"/>
      <c r="E93" s="20"/>
      <c r="F93" s="26"/>
      <c r="G93" s="15"/>
      <c r="H93" s="15" t="s">
        <v>265</v>
      </c>
      <c r="I93" s="15"/>
      <c r="J93" s="15"/>
      <c r="K93" s="15"/>
      <c r="L93" s="15"/>
      <c r="M93" s="15"/>
      <c r="N93" s="15"/>
      <c r="O93" s="15"/>
      <c r="P93" s="15"/>
      <c r="Q93" s="15"/>
      <c r="R93" s="16"/>
      <c r="S93" s="9" t="s">
        <v>152</v>
      </c>
      <c r="T93" s="18" t="s">
        <v>156</v>
      </c>
      <c r="U93" s="9"/>
      <c r="V93" s="9"/>
    </row>
    <row r="94" spans="2:22">
      <c r="B94" s="9">
        <f t="shared" si="2"/>
        <v>92</v>
      </c>
      <c r="C94" s="19"/>
      <c r="D94" s="25"/>
      <c r="E94" s="20"/>
      <c r="F94" s="26"/>
      <c r="G94" s="15"/>
      <c r="H94" s="32" t="s">
        <v>54</v>
      </c>
      <c r="I94" s="32"/>
      <c r="J94" s="32"/>
      <c r="K94" s="32"/>
      <c r="L94" s="32"/>
      <c r="M94" s="32"/>
      <c r="N94" s="32"/>
      <c r="O94" s="32"/>
      <c r="P94" s="32"/>
      <c r="Q94" s="32"/>
      <c r="R94" s="33"/>
      <c r="S94" s="34" t="s">
        <v>155</v>
      </c>
      <c r="T94" s="35" t="s">
        <v>156</v>
      </c>
      <c r="U94" s="36"/>
      <c r="V94" s="36"/>
    </row>
    <row r="95" spans="2:22">
      <c r="B95" s="9">
        <f t="shared" si="2"/>
        <v>93</v>
      </c>
      <c r="C95" s="19"/>
      <c r="D95" s="25"/>
      <c r="E95" s="20"/>
      <c r="F95" s="26"/>
      <c r="G95" s="15"/>
      <c r="H95" s="32"/>
      <c r="I95" s="31" t="s">
        <v>162</v>
      </c>
      <c r="J95" s="37" t="s">
        <v>155</v>
      </c>
      <c r="K95" s="15"/>
      <c r="L95" s="15"/>
      <c r="M95" s="15"/>
      <c r="N95" s="15"/>
      <c r="O95" s="15"/>
      <c r="P95" s="15"/>
      <c r="Q95" s="15"/>
      <c r="R95" s="16"/>
      <c r="S95" s="9" t="s">
        <v>152</v>
      </c>
      <c r="T95" s="9"/>
      <c r="U95" s="9"/>
      <c r="V95" s="9"/>
    </row>
    <row r="96" spans="2:22">
      <c r="B96" s="9">
        <f t="shared" si="2"/>
        <v>94</v>
      </c>
      <c r="C96" s="19"/>
      <c r="D96" s="25"/>
      <c r="E96" s="20"/>
      <c r="F96" s="26"/>
      <c r="G96" s="15"/>
      <c r="H96" s="32"/>
      <c r="I96" s="31" t="s">
        <v>162</v>
      </c>
      <c r="J96" s="37" t="s">
        <v>155</v>
      </c>
      <c r="K96" s="15"/>
      <c r="L96" s="15"/>
      <c r="M96" s="15"/>
      <c r="N96" s="15"/>
      <c r="O96" s="15"/>
      <c r="P96" s="15"/>
      <c r="Q96" s="15"/>
      <c r="R96" s="16"/>
      <c r="S96" s="9" t="s">
        <v>152</v>
      </c>
      <c r="T96" s="9"/>
      <c r="U96" s="9"/>
      <c r="V96" s="9"/>
    </row>
    <row r="97" spans="2:22">
      <c r="B97" s="9">
        <f t="shared" si="2"/>
        <v>95</v>
      </c>
      <c r="C97" s="19"/>
      <c r="D97" s="25"/>
      <c r="E97" s="20"/>
      <c r="F97" s="26"/>
      <c r="G97" s="15"/>
      <c r="H97" s="15" t="s">
        <v>255</v>
      </c>
      <c r="I97" s="15"/>
      <c r="J97" s="15"/>
      <c r="K97" s="15"/>
      <c r="L97" s="15"/>
      <c r="M97" s="15"/>
      <c r="N97" s="15"/>
      <c r="O97" s="15"/>
      <c r="P97" s="15"/>
      <c r="Q97" s="15"/>
      <c r="R97" s="16"/>
      <c r="S97" s="9" t="s">
        <v>172</v>
      </c>
      <c r="T97" s="18" t="s">
        <v>156</v>
      </c>
      <c r="U97" s="9"/>
      <c r="V97" s="9"/>
    </row>
    <row r="98" spans="2:22">
      <c r="B98" s="9">
        <f t="shared" si="2"/>
        <v>96</v>
      </c>
      <c r="C98" s="19"/>
      <c r="D98" s="25"/>
      <c r="E98" s="20"/>
      <c r="F98" s="26"/>
      <c r="G98" s="15"/>
      <c r="H98" s="32" t="s">
        <v>39</v>
      </c>
      <c r="I98" s="32"/>
      <c r="J98" s="32"/>
      <c r="K98" s="32"/>
      <c r="L98" s="32"/>
      <c r="M98" s="32"/>
      <c r="N98" s="32"/>
      <c r="O98" s="32"/>
      <c r="P98" s="32"/>
      <c r="Q98" s="32"/>
      <c r="R98" s="33"/>
      <c r="S98" s="34" t="s">
        <v>155</v>
      </c>
      <c r="T98" s="35" t="s">
        <v>156</v>
      </c>
      <c r="U98" s="36"/>
      <c r="V98" s="36"/>
    </row>
    <row r="99" spans="2:22">
      <c r="B99" s="9">
        <f t="shared" ref="B99:B130" si="3">ROW()-2</f>
        <v>97</v>
      </c>
      <c r="C99" s="19"/>
      <c r="D99" s="25"/>
      <c r="E99" s="20"/>
      <c r="F99" s="26"/>
      <c r="G99" s="15"/>
      <c r="H99" s="32"/>
      <c r="I99" s="31" t="s">
        <v>162</v>
      </c>
      <c r="J99" s="15" t="s">
        <v>256</v>
      </c>
      <c r="K99" s="15"/>
      <c r="L99" s="15"/>
      <c r="M99" s="15"/>
      <c r="N99" s="15"/>
      <c r="O99" s="15"/>
      <c r="P99" s="15"/>
      <c r="Q99" s="15"/>
      <c r="R99" s="16"/>
      <c r="S99" s="9" t="s">
        <v>152</v>
      </c>
      <c r="T99" s="18" t="s">
        <v>156</v>
      </c>
      <c r="U99" s="9"/>
      <c r="V99" s="9"/>
    </row>
    <row r="100" spans="2:22">
      <c r="B100" s="9">
        <f t="shared" si="3"/>
        <v>98</v>
      </c>
      <c r="C100" s="19"/>
      <c r="D100" s="25"/>
      <c r="E100" s="20"/>
      <c r="F100" s="26"/>
      <c r="G100" s="15"/>
      <c r="H100" s="32"/>
      <c r="I100" s="31" t="s">
        <v>162</v>
      </c>
      <c r="J100" s="15" t="s">
        <v>256</v>
      </c>
      <c r="K100" s="15"/>
      <c r="L100" s="15"/>
      <c r="M100" s="15"/>
      <c r="N100" s="15"/>
      <c r="O100" s="15"/>
      <c r="P100" s="15"/>
      <c r="Q100" s="15"/>
      <c r="R100" s="16"/>
      <c r="S100" s="9" t="s">
        <v>152</v>
      </c>
      <c r="T100" s="18" t="s">
        <v>156</v>
      </c>
      <c r="U100" s="9"/>
      <c r="V100" s="9"/>
    </row>
    <row r="101" spans="2:22">
      <c r="B101" s="9">
        <f t="shared" si="3"/>
        <v>99</v>
      </c>
      <c r="C101" s="19"/>
      <c r="D101" s="25"/>
      <c r="E101" s="20"/>
      <c r="F101" s="26"/>
      <c r="G101" s="15"/>
      <c r="H101" s="15" t="s">
        <v>185</v>
      </c>
      <c r="I101" s="15"/>
      <c r="J101" s="15"/>
      <c r="K101" s="15"/>
      <c r="L101" s="15"/>
      <c r="M101" s="15"/>
      <c r="N101" s="15"/>
      <c r="O101" s="15"/>
      <c r="P101" s="15"/>
      <c r="Q101" s="15"/>
      <c r="R101" s="16"/>
      <c r="S101" s="9" t="s">
        <v>152</v>
      </c>
      <c r="T101" s="18" t="s">
        <v>156</v>
      </c>
      <c r="U101" s="9"/>
      <c r="V101" s="9"/>
    </row>
    <row r="102" spans="2:22">
      <c r="B102" s="9">
        <f t="shared" si="3"/>
        <v>100</v>
      </c>
      <c r="C102" s="19"/>
      <c r="D102" s="25"/>
      <c r="E102" s="20"/>
      <c r="F102" s="26"/>
      <c r="G102" s="15"/>
      <c r="H102" s="15" t="s">
        <v>266</v>
      </c>
      <c r="I102" s="15"/>
      <c r="J102" s="15"/>
      <c r="K102" s="15"/>
      <c r="L102" s="15"/>
      <c r="M102" s="15"/>
      <c r="N102" s="15"/>
      <c r="O102" s="15"/>
      <c r="P102" s="15"/>
      <c r="Q102" s="15"/>
      <c r="R102" s="16"/>
      <c r="S102" s="9" t="s">
        <v>152</v>
      </c>
      <c r="T102" s="18" t="s">
        <v>156</v>
      </c>
      <c r="U102" s="9"/>
      <c r="V102" s="9"/>
    </row>
    <row r="103" spans="2:22">
      <c r="B103" s="9">
        <f t="shared" si="3"/>
        <v>101</v>
      </c>
      <c r="C103" s="19"/>
      <c r="D103" s="25"/>
      <c r="E103" s="20"/>
      <c r="F103" s="26"/>
      <c r="G103" s="15"/>
      <c r="H103" s="32" t="s">
        <v>60</v>
      </c>
      <c r="I103" s="32"/>
      <c r="J103" s="32"/>
      <c r="K103" s="32"/>
      <c r="L103" s="32"/>
      <c r="M103" s="32"/>
      <c r="N103" s="32"/>
      <c r="O103" s="32"/>
      <c r="P103" s="32"/>
      <c r="Q103" s="32"/>
      <c r="R103" s="33"/>
      <c r="S103" s="34" t="s">
        <v>155</v>
      </c>
      <c r="T103" s="35" t="s">
        <v>156</v>
      </c>
      <c r="U103" s="36"/>
      <c r="V103" s="36"/>
    </row>
    <row r="104" spans="2:22">
      <c r="B104" s="9">
        <f t="shared" si="3"/>
        <v>102</v>
      </c>
      <c r="C104" s="19"/>
      <c r="D104" s="25"/>
      <c r="E104" s="20"/>
      <c r="F104" s="26"/>
      <c r="G104" s="15"/>
      <c r="H104" s="32"/>
      <c r="I104" s="31" t="s">
        <v>162</v>
      </c>
      <c r="J104" s="15" t="s">
        <v>267</v>
      </c>
      <c r="K104" s="15"/>
      <c r="L104" s="15"/>
      <c r="M104" s="15"/>
      <c r="N104" s="15"/>
      <c r="O104" s="15"/>
      <c r="P104" s="15"/>
      <c r="Q104" s="15"/>
      <c r="R104" s="16"/>
      <c r="S104" s="9" t="s">
        <v>159</v>
      </c>
      <c r="T104" s="18" t="s">
        <v>156</v>
      </c>
      <c r="U104" s="9"/>
      <c r="V104" s="9"/>
    </row>
    <row r="105" spans="2:22">
      <c r="B105" s="9">
        <f t="shared" si="3"/>
        <v>103</v>
      </c>
      <c r="C105" s="19"/>
      <c r="D105" s="25"/>
      <c r="E105" s="20"/>
      <c r="F105" s="26"/>
      <c r="G105" s="15"/>
      <c r="H105" s="32"/>
      <c r="I105" s="15"/>
      <c r="J105" s="15" t="s">
        <v>266</v>
      </c>
      <c r="K105" s="15"/>
      <c r="L105" s="15"/>
      <c r="M105" s="15"/>
      <c r="N105" s="15"/>
      <c r="O105" s="15"/>
      <c r="P105" s="15"/>
      <c r="Q105" s="15"/>
      <c r="R105" s="16"/>
      <c r="S105" s="9" t="s">
        <v>152</v>
      </c>
      <c r="T105" s="18" t="s">
        <v>156</v>
      </c>
      <c r="U105" s="9"/>
      <c r="V105" s="9"/>
    </row>
    <row r="106" spans="2:22">
      <c r="B106" s="9">
        <f t="shared" si="3"/>
        <v>104</v>
      </c>
      <c r="C106" s="19"/>
      <c r="D106" s="25"/>
      <c r="E106" s="20"/>
      <c r="F106" s="26"/>
      <c r="G106" s="15"/>
      <c r="H106" s="32"/>
      <c r="I106" s="31" t="s">
        <v>162</v>
      </c>
      <c r="J106" s="15" t="s">
        <v>267</v>
      </c>
      <c r="K106" s="15"/>
      <c r="L106" s="15"/>
      <c r="M106" s="15"/>
      <c r="N106" s="15"/>
      <c r="O106" s="15"/>
      <c r="P106" s="15"/>
      <c r="Q106" s="15"/>
      <c r="R106" s="16"/>
      <c r="S106" s="9" t="s">
        <v>159</v>
      </c>
      <c r="T106" s="18" t="s">
        <v>156</v>
      </c>
      <c r="U106" s="9"/>
      <c r="V106" s="9"/>
    </row>
    <row r="107" spans="2:22">
      <c r="B107" s="9">
        <f t="shared" si="3"/>
        <v>105</v>
      </c>
      <c r="C107" s="19"/>
      <c r="D107" s="25"/>
      <c r="E107" s="20"/>
      <c r="F107" s="26"/>
      <c r="G107" s="15"/>
      <c r="H107" s="32"/>
      <c r="I107" s="15"/>
      <c r="J107" s="15" t="s">
        <v>266</v>
      </c>
      <c r="K107" s="15"/>
      <c r="L107" s="15"/>
      <c r="M107" s="15"/>
      <c r="N107" s="15"/>
      <c r="O107" s="15"/>
      <c r="P107" s="15"/>
      <c r="Q107" s="15"/>
      <c r="R107" s="16"/>
      <c r="S107" s="9" t="s">
        <v>152</v>
      </c>
      <c r="T107" s="18" t="s">
        <v>156</v>
      </c>
      <c r="U107" s="9"/>
      <c r="V107" s="9"/>
    </row>
    <row r="108" spans="2:22">
      <c r="B108" s="9">
        <f t="shared" si="3"/>
        <v>106</v>
      </c>
      <c r="C108" s="19"/>
      <c r="D108" s="25"/>
      <c r="E108" s="20"/>
      <c r="F108" s="26"/>
      <c r="G108" s="15"/>
      <c r="H108" s="15" t="s">
        <v>268</v>
      </c>
      <c r="I108" s="15"/>
      <c r="J108" s="15"/>
      <c r="K108" s="15"/>
      <c r="L108" s="15"/>
      <c r="M108" s="15"/>
      <c r="N108" s="15"/>
      <c r="O108" s="15"/>
      <c r="P108" s="15"/>
      <c r="Q108" s="15"/>
      <c r="R108" s="16"/>
      <c r="S108" s="9" t="s">
        <v>172</v>
      </c>
      <c r="T108" s="18" t="s">
        <v>156</v>
      </c>
      <c r="U108" s="9"/>
      <c r="V108" s="9"/>
    </row>
    <row r="109" spans="2:22">
      <c r="B109" s="9">
        <f t="shared" si="3"/>
        <v>107</v>
      </c>
      <c r="C109" s="19"/>
      <c r="D109" s="25"/>
      <c r="E109" s="20"/>
      <c r="F109" s="26"/>
      <c r="G109" s="15"/>
      <c r="H109" s="15" t="s">
        <v>190</v>
      </c>
      <c r="I109" s="15"/>
      <c r="J109" s="15"/>
      <c r="K109" s="15"/>
      <c r="L109" s="15"/>
      <c r="M109" s="15"/>
      <c r="N109" s="15"/>
      <c r="O109" s="15"/>
      <c r="P109" s="15"/>
      <c r="Q109" s="15"/>
      <c r="R109" s="16"/>
      <c r="S109" s="9" t="s">
        <v>152</v>
      </c>
      <c r="T109" s="18" t="s">
        <v>156</v>
      </c>
      <c r="U109" s="9"/>
      <c r="V109" s="9"/>
    </row>
    <row r="110" spans="2:22">
      <c r="B110" s="9">
        <f t="shared" si="3"/>
        <v>108</v>
      </c>
      <c r="C110" s="19"/>
      <c r="D110" s="25"/>
      <c r="E110" s="20"/>
      <c r="F110" s="15" t="s">
        <v>269</v>
      </c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6"/>
      <c r="S110" s="9" t="s">
        <v>152</v>
      </c>
      <c r="T110" s="18" t="s">
        <v>156</v>
      </c>
      <c r="U110" s="9"/>
      <c r="V110" s="9"/>
    </row>
    <row r="111" spans="2:22">
      <c r="B111" s="9">
        <f t="shared" si="3"/>
        <v>109</v>
      </c>
      <c r="C111" s="19"/>
      <c r="D111" s="25"/>
      <c r="E111" s="20"/>
      <c r="F111" s="15" t="s">
        <v>266</v>
      </c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6"/>
      <c r="S111" s="9" t="s">
        <v>152</v>
      </c>
      <c r="T111" s="18" t="s">
        <v>156</v>
      </c>
      <c r="U111" s="9"/>
      <c r="V111" s="9"/>
    </row>
    <row r="112" spans="2:22">
      <c r="B112" s="9">
        <f t="shared" si="3"/>
        <v>110</v>
      </c>
      <c r="C112" s="19"/>
      <c r="D112" s="25"/>
      <c r="E112" s="20"/>
      <c r="F112" s="15" t="s">
        <v>270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6"/>
      <c r="S112" s="9" t="s">
        <v>152</v>
      </c>
      <c r="T112" s="18" t="s">
        <v>156</v>
      </c>
      <c r="U112" s="9"/>
      <c r="V112" s="9"/>
    </row>
    <row r="113" spans="2:22">
      <c r="B113" s="9">
        <f t="shared" si="3"/>
        <v>111</v>
      </c>
      <c r="C113" s="19"/>
      <c r="D113" s="25"/>
      <c r="E113" s="20"/>
      <c r="F113" s="26" t="s">
        <v>65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7"/>
      <c r="S113" s="28" t="s">
        <v>155</v>
      </c>
      <c r="T113" s="29" t="s">
        <v>156</v>
      </c>
      <c r="U113" s="30"/>
      <c r="V113" s="30"/>
    </row>
    <row r="114" spans="2:22">
      <c r="B114" s="9">
        <f t="shared" si="3"/>
        <v>112</v>
      </c>
      <c r="C114" s="19"/>
      <c r="D114" s="25"/>
      <c r="E114" s="20"/>
      <c r="F114" s="26"/>
      <c r="G114" s="31" t="s">
        <v>162</v>
      </c>
      <c r="H114" s="37" t="s">
        <v>155</v>
      </c>
      <c r="I114" s="15"/>
      <c r="J114" s="15"/>
      <c r="K114" s="15"/>
      <c r="L114" s="15"/>
      <c r="M114" s="15"/>
      <c r="N114" s="15"/>
      <c r="O114" s="15"/>
      <c r="P114" s="15"/>
      <c r="Q114" s="15"/>
      <c r="R114" s="16"/>
      <c r="S114" s="9" t="s">
        <v>152</v>
      </c>
      <c r="T114" s="9"/>
      <c r="U114" s="9"/>
      <c r="V114" s="9"/>
    </row>
    <row r="115" spans="2:22">
      <c r="B115" s="9">
        <f t="shared" si="3"/>
        <v>113</v>
      </c>
      <c r="C115" s="19"/>
      <c r="D115" s="25"/>
      <c r="E115" s="20"/>
      <c r="F115" s="26"/>
      <c r="G115" s="31" t="s">
        <v>162</v>
      </c>
      <c r="H115" s="37" t="s">
        <v>155</v>
      </c>
      <c r="I115" s="15"/>
      <c r="J115" s="15"/>
      <c r="K115" s="15"/>
      <c r="L115" s="15"/>
      <c r="M115" s="15"/>
      <c r="N115" s="15"/>
      <c r="O115" s="15"/>
      <c r="P115" s="15"/>
      <c r="Q115" s="15"/>
      <c r="R115" s="16"/>
      <c r="S115" s="9" t="s">
        <v>152</v>
      </c>
      <c r="T115" s="9"/>
      <c r="U115" s="9"/>
      <c r="V115" s="9"/>
    </row>
    <row r="116" spans="2:22">
      <c r="B116" s="9">
        <f t="shared" si="3"/>
        <v>114</v>
      </c>
      <c r="C116" s="19"/>
      <c r="D116" s="25"/>
      <c r="E116" s="20"/>
      <c r="F116" s="26" t="s">
        <v>66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7"/>
      <c r="S116" s="28" t="s">
        <v>155</v>
      </c>
      <c r="T116" s="29" t="s">
        <v>156</v>
      </c>
      <c r="U116" s="30"/>
      <c r="V116" s="30"/>
    </row>
    <row r="117" spans="2:22">
      <c r="B117" s="9">
        <f t="shared" si="3"/>
        <v>115</v>
      </c>
      <c r="C117" s="19"/>
      <c r="D117" s="25"/>
      <c r="E117" s="20"/>
      <c r="F117" s="26"/>
      <c r="G117" s="31" t="s">
        <v>162</v>
      </c>
      <c r="H117" s="37" t="s">
        <v>155</v>
      </c>
      <c r="I117" s="15"/>
      <c r="J117" s="15"/>
      <c r="K117" s="15"/>
      <c r="L117" s="15"/>
      <c r="M117" s="15"/>
      <c r="N117" s="15"/>
      <c r="O117" s="15"/>
      <c r="P117" s="15"/>
      <c r="Q117" s="15"/>
      <c r="R117" s="16"/>
      <c r="S117" s="9" t="s">
        <v>152</v>
      </c>
      <c r="T117" s="9"/>
      <c r="U117" s="9"/>
      <c r="V117" s="9"/>
    </row>
    <row r="118" spans="2:22">
      <c r="B118" s="9">
        <f t="shared" si="3"/>
        <v>116</v>
      </c>
      <c r="C118" s="19"/>
      <c r="D118" s="25"/>
      <c r="E118" s="20"/>
      <c r="F118" s="26"/>
      <c r="G118" s="31" t="s">
        <v>162</v>
      </c>
      <c r="H118" s="37" t="s">
        <v>155</v>
      </c>
      <c r="I118" s="15"/>
      <c r="J118" s="15"/>
      <c r="K118" s="15"/>
      <c r="L118" s="15"/>
      <c r="M118" s="15"/>
      <c r="N118" s="15"/>
      <c r="O118" s="15"/>
      <c r="P118" s="15"/>
      <c r="Q118" s="15"/>
      <c r="R118" s="16"/>
      <c r="S118" s="9" t="s">
        <v>152</v>
      </c>
      <c r="T118" s="9"/>
      <c r="U118" s="9"/>
      <c r="V118" s="9"/>
    </row>
    <row r="119" spans="2:22">
      <c r="B119" s="9">
        <f t="shared" si="3"/>
        <v>117</v>
      </c>
      <c r="C119" s="19"/>
      <c r="D119" s="25"/>
      <c r="E119" s="20"/>
      <c r="F119" s="15" t="s">
        <v>271</v>
      </c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6"/>
      <c r="S119" s="9" t="s">
        <v>159</v>
      </c>
      <c r="T119" s="18" t="s">
        <v>156</v>
      </c>
      <c r="U119" s="9"/>
      <c r="V119" s="9"/>
    </row>
    <row r="120" spans="2:22">
      <c r="B120" s="9">
        <f t="shared" si="3"/>
        <v>118</v>
      </c>
      <c r="C120" s="19"/>
      <c r="D120" s="25"/>
      <c r="E120" s="20"/>
      <c r="F120" s="26" t="s">
        <v>68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7"/>
      <c r="S120" s="28" t="s">
        <v>155</v>
      </c>
      <c r="T120" s="29" t="s">
        <v>156</v>
      </c>
      <c r="U120" s="30"/>
      <c r="V120" s="30"/>
    </row>
    <row r="121" spans="2:22">
      <c r="B121" s="9">
        <f t="shared" si="3"/>
        <v>119</v>
      </c>
      <c r="C121" s="19"/>
      <c r="D121" s="25"/>
      <c r="E121" s="20"/>
      <c r="F121" s="26"/>
      <c r="G121" s="31" t="s">
        <v>162</v>
      </c>
      <c r="H121" s="32" t="s">
        <v>272</v>
      </c>
      <c r="I121" s="32"/>
      <c r="J121" s="32"/>
      <c r="K121" s="32"/>
      <c r="L121" s="32"/>
      <c r="M121" s="32"/>
      <c r="N121" s="32"/>
      <c r="O121" s="32"/>
      <c r="P121" s="32"/>
      <c r="Q121" s="32"/>
      <c r="R121" s="33"/>
      <c r="S121" s="34" t="s">
        <v>155</v>
      </c>
      <c r="T121" s="35" t="s">
        <v>156</v>
      </c>
      <c r="U121" s="36"/>
      <c r="V121" s="36"/>
    </row>
    <row r="122" spans="2:22">
      <c r="B122" s="9">
        <f t="shared" si="3"/>
        <v>120</v>
      </c>
      <c r="C122" s="19"/>
      <c r="D122" s="25"/>
      <c r="E122" s="20"/>
      <c r="F122" s="26"/>
      <c r="G122" s="38"/>
      <c r="H122" s="32"/>
      <c r="I122" s="31" t="s">
        <v>162</v>
      </c>
      <c r="J122" s="15" t="s">
        <v>163</v>
      </c>
      <c r="K122" s="15"/>
      <c r="L122" s="15"/>
      <c r="M122" s="15"/>
      <c r="N122" s="15"/>
      <c r="O122" s="15"/>
      <c r="P122" s="15"/>
      <c r="Q122" s="15"/>
      <c r="R122" s="16"/>
      <c r="S122" s="9" t="s">
        <v>152</v>
      </c>
      <c r="T122" s="18" t="s">
        <v>156</v>
      </c>
      <c r="U122" s="9"/>
      <c r="V122" s="9"/>
    </row>
    <row r="123" spans="2:22">
      <c r="B123" s="9">
        <f t="shared" si="3"/>
        <v>121</v>
      </c>
      <c r="C123" s="19"/>
      <c r="D123" s="25"/>
      <c r="E123" s="20"/>
      <c r="F123" s="26"/>
      <c r="G123" s="38"/>
      <c r="H123" s="32"/>
      <c r="I123" s="15"/>
      <c r="J123" s="39" t="s">
        <v>71</v>
      </c>
      <c r="K123" s="39"/>
      <c r="L123" s="39"/>
      <c r="M123" s="39"/>
      <c r="N123" s="39"/>
      <c r="O123" s="39"/>
      <c r="P123" s="39"/>
      <c r="Q123" s="39"/>
      <c r="R123" s="40"/>
      <c r="S123" s="41" t="s">
        <v>155</v>
      </c>
      <c r="T123" s="42" t="s">
        <v>156</v>
      </c>
      <c r="U123" s="43"/>
      <c r="V123" s="43"/>
    </row>
    <row r="124" spans="2:22">
      <c r="B124" s="9">
        <f t="shared" si="3"/>
        <v>122</v>
      </c>
      <c r="C124" s="19"/>
      <c r="D124" s="25"/>
      <c r="E124" s="20"/>
      <c r="F124" s="26"/>
      <c r="G124" s="38"/>
      <c r="H124" s="32"/>
      <c r="I124" s="15"/>
      <c r="J124" s="39"/>
      <c r="K124" s="31" t="s">
        <v>162</v>
      </c>
      <c r="L124" s="37" t="s">
        <v>155</v>
      </c>
      <c r="M124" s="15"/>
      <c r="N124" s="15"/>
      <c r="O124" s="15"/>
      <c r="P124" s="15"/>
      <c r="Q124" s="15"/>
      <c r="R124" s="16"/>
      <c r="S124" s="9" t="s">
        <v>152</v>
      </c>
      <c r="T124" s="9"/>
      <c r="U124" s="9"/>
      <c r="V124" s="9"/>
    </row>
    <row r="125" spans="2:22">
      <c r="B125" s="9">
        <f t="shared" si="3"/>
        <v>123</v>
      </c>
      <c r="C125" s="19"/>
      <c r="D125" s="25"/>
      <c r="E125" s="20"/>
      <c r="F125" s="26"/>
      <c r="G125" s="38"/>
      <c r="H125" s="32"/>
      <c r="I125" s="15"/>
      <c r="J125" s="39"/>
      <c r="K125" s="31" t="s">
        <v>162</v>
      </c>
      <c r="L125" s="37" t="s">
        <v>155</v>
      </c>
      <c r="M125" s="15"/>
      <c r="N125" s="15"/>
      <c r="O125" s="15"/>
      <c r="P125" s="15"/>
      <c r="Q125" s="15"/>
      <c r="R125" s="16"/>
      <c r="S125" s="9" t="s">
        <v>152</v>
      </c>
      <c r="T125" s="9"/>
      <c r="U125" s="9"/>
      <c r="V125" s="9"/>
    </row>
    <row r="126" spans="2:22">
      <c r="B126" s="9">
        <f t="shared" si="3"/>
        <v>124</v>
      </c>
      <c r="C126" s="19"/>
      <c r="D126" s="25"/>
      <c r="E126" s="20"/>
      <c r="F126" s="26"/>
      <c r="G126" s="38"/>
      <c r="H126" s="32"/>
      <c r="I126" s="31" t="s">
        <v>162</v>
      </c>
      <c r="J126" s="15" t="s">
        <v>163</v>
      </c>
      <c r="K126" s="15"/>
      <c r="L126" s="15"/>
      <c r="M126" s="15"/>
      <c r="N126" s="15"/>
      <c r="O126" s="15"/>
      <c r="P126" s="15"/>
      <c r="Q126" s="15"/>
      <c r="R126" s="16"/>
      <c r="S126" s="9" t="s">
        <v>152</v>
      </c>
      <c r="T126" s="18" t="s">
        <v>156</v>
      </c>
      <c r="U126" s="9"/>
      <c r="V126" s="9"/>
    </row>
    <row r="127" spans="2:22">
      <c r="B127" s="9">
        <f t="shared" si="3"/>
        <v>125</v>
      </c>
      <c r="C127" s="19"/>
      <c r="D127" s="25"/>
      <c r="E127" s="20"/>
      <c r="F127" s="26"/>
      <c r="G127" s="38"/>
      <c r="H127" s="32"/>
      <c r="I127" s="15"/>
      <c r="J127" s="39" t="s">
        <v>71</v>
      </c>
      <c r="K127" s="39"/>
      <c r="L127" s="39"/>
      <c r="M127" s="39"/>
      <c r="N127" s="39"/>
      <c r="O127" s="39"/>
      <c r="P127" s="39"/>
      <c r="Q127" s="39"/>
      <c r="R127" s="40"/>
      <c r="S127" s="41" t="s">
        <v>155</v>
      </c>
      <c r="T127" s="42" t="s">
        <v>156</v>
      </c>
      <c r="U127" s="43"/>
      <c r="V127" s="43"/>
    </row>
    <row r="128" spans="2:22">
      <c r="B128" s="9">
        <f t="shared" si="3"/>
        <v>126</v>
      </c>
      <c r="C128" s="19"/>
      <c r="D128" s="25"/>
      <c r="E128" s="20"/>
      <c r="F128" s="26"/>
      <c r="G128" s="38"/>
      <c r="H128" s="32"/>
      <c r="I128" s="15"/>
      <c r="J128" s="39"/>
      <c r="K128" s="31" t="s">
        <v>162</v>
      </c>
      <c r="L128" s="37" t="s">
        <v>155</v>
      </c>
      <c r="M128" s="15"/>
      <c r="N128" s="15"/>
      <c r="O128" s="15"/>
      <c r="P128" s="15"/>
      <c r="Q128" s="15"/>
      <c r="R128" s="16"/>
      <c r="S128" s="9" t="s">
        <v>152</v>
      </c>
      <c r="T128" s="9"/>
      <c r="U128" s="9"/>
      <c r="V128" s="9"/>
    </row>
    <row r="129" spans="2:22">
      <c r="B129" s="9">
        <f t="shared" si="3"/>
        <v>127</v>
      </c>
      <c r="C129" s="19"/>
      <c r="D129" s="25"/>
      <c r="E129" s="20"/>
      <c r="F129" s="26"/>
      <c r="G129" s="38"/>
      <c r="H129" s="32"/>
      <c r="I129" s="15"/>
      <c r="J129" s="39"/>
      <c r="K129" s="31" t="s">
        <v>162</v>
      </c>
      <c r="L129" s="37" t="s">
        <v>155</v>
      </c>
      <c r="M129" s="15"/>
      <c r="N129" s="15"/>
      <c r="O129" s="15"/>
      <c r="P129" s="15"/>
      <c r="Q129" s="15"/>
      <c r="R129" s="16"/>
      <c r="S129" s="9" t="s">
        <v>152</v>
      </c>
      <c r="T129" s="9"/>
      <c r="U129" s="9"/>
      <c r="V129" s="9"/>
    </row>
    <row r="130" spans="2:22">
      <c r="B130" s="9">
        <f t="shared" si="3"/>
        <v>128</v>
      </c>
      <c r="C130" s="19"/>
      <c r="D130" s="25"/>
      <c r="E130" s="20"/>
      <c r="F130" s="26"/>
      <c r="G130" s="38"/>
      <c r="H130" s="15" t="s">
        <v>273</v>
      </c>
      <c r="I130" s="15"/>
      <c r="J130" s="15"/>
      <c r="K130" s="15"/>
      <c r="L130" s="15"/>
      <c r="M130" s="15"/>
      <c r="N130" s="15"/>
      <c r="O130" s="15"/>
      <c r="P130" s="15"/>
      <c r="Q130" s="15"/>
      <c r="R130" s="16"/>
      <c r="S130" s="9" t="s">
        <v>152</v>
      </c>
      <c r="T130" s="18" t="s">
        <v>156</v>
      </c>
      <c r="U130" s="9"/>
      <c r="V130" s="9"/>
    </row>
    <row r="131" spans="2:22">
      <c r="B131" s="9">
        <f t="shared" ref="B131:B153" si="4">ROW()-2</f>
        <v>129</v>
      </c>
      <c r="C131" s="19"/>
      <c r="D131" s="25"/>
      <c r="E131" s="20"/>
      <c r="F131" s="26"/>
      <c r="G131" s="31" t="s">
        <v>162</v>
      </c>
      <c r="H131" s="32" t="s">
        <v>272</v>
      </c>
      <c r="I131" s="32"/>
      <c r="J131" s="32"/>
      <c r="K131" s="32"/>
      <c r="L131" s="32"/>
      <c r="M131" s="32"/>
      <c r="N131" s="32"/>
      <c r="O131" s="32"/>
      <c r="P131" s="32"/>
      <c r="Q131" s="32"/>
      <c r="R131" s="33"/>
      <c r="S131" s="34" t="s">
        <v>155</v>
      </c>
      <c r="T131" s="35" t="s">
        <v>156</v>
      </c>
      <c r="U131" s="36"/>
      <c r="V131" s="36"/>
    </row>
    <row r="132" spans="2:22">
      <c r="B132" s="9">
        <f t="shared" si="4"/>
        <v>130</v>
      </c>
      <c r="C132" s="19"/>
      <c r="D132" s="25"/>
      <c r="E132" s="20"/>
      <c r="F132" s="26"/>
      <c r="G132" s="38"/>
      <c r="H132" s="32"/>
      <c r="I132" s="31" t="s">
        <v>162</v>
      </c>
      <c r="J132" s="15" t="s">
        <v>163</v>
      </c>
      <c r="K132" s="15"/>
      <c r="L132" s="15"/>
      <c r="M132" s="15"/>
      <c r="N132" s="15"/>
      <c r="O132" s="15"/>
      <c r="P132" s="15"/>
      <c r="Q132" s="15"/>
      <c r="R132" s="16"/>
      <c r="S132" s="9" t="s">
        <v>152</v>
      </c>
      <c r="T132" s="18" t="s">
        <v>156</v>
      </c>
      <c r="U132" s="9"/>
      <c r="V132" s="9"/>
    </row>
    <row r="133" spans="2:22">
      <c r="B133" s="9">
        <f t="shared" si="4"/>
        <v>131</v>
      </c>
      <c r="C133" s="19"/>
      <c r="D133" s="25"/>
      <c r="E133" s="20"/>
      <c r="F133" s="26"/>
      <c r="G133" s="38"/>
      <c r="H133" s="32"/>
      <c r="I133" s="15"/>
      <c r="J133" s="39" t="s">
        <v>71</v>
      </c>
      <c r="K133" s="39"/>
      <c r="L133" s="39"/>
      <c r="M133" s="39"/>
      <c r="N133" s="39"/>
      <c r="O133" s="39"/>
      <c r="P133" s="39"/>
      <c r="Q133" s="39"/>
      <c r="R133" s="40"/>
      <c r="S133" s="41" t="s">
        <v>155</v>
      </c>
      <c r="T133" s="42" t="s">
        <v>156</v>
      </c>
      <c r="U133" s="43"/>
      <c r="V133" s="43"/>
    </row>
    <row r="134" spans="2:22">
      <c r="B134" s="9">
        <f t="shared" si="4"/>
        <v>132</v>
      </c>
      <c r="C134" s="19"/>
      <c r="D134" s="25"/>
      <c r="E134" s="20"/>
      <c r="F134" s="26"/>
      <c r="G134" s="38"/>
      <c r="H134" s="32"/>
      <c r="I134" s="15"/>
      <c r="J134" s="39"/>
      <c r="K134" s="31" t="s">
        <v>162</v>
      </c>
      <c r="L134" s="37" t="s">
        <v>155</v>
      </c>
      <c r="M134" s="15"/>
      <c r="N134" s="15"/>
      <c r="O134" s="15"/>
      <c r="P134" s="15"/>
      <c r="Q134" s="15"/>
      <c r="R134" s="16"/>
      <c r="S134" s="9" t="s">
        <v>152</v>
      </c>
      <c r="T134" s="9"/>
      <c r="U134" s="9"/>
      <c r="V134" s="9"/>
    </row>
    <row r="135" spans="2:22">
      <c r="B135" s="9">
        <f t="shared" si="4"/>
        <v>133</v>
      </c>
      <c r="C135" s="19"/>
      <c r="D135" s="25"/>
      <c r="E135" s="20"/>
      <c r="F135" s="26"/>
      <c r="G135" s="38"/>
      <c r="H135" s="32"/>
      <c r="I135" s="15"/>
      <c r="J135" s="39"/>
      <c r="K135" s="31" t="s">
        <v>162</v>
      </c>
      <c r="L135" s="37" t="s">
        <v>155</v>
      </c>
      <c r="M135" s="15"/>
      <c r="N135" s="15"/>
      <c r="O135" s="15"/>
      <c r="P135" s="15"/>
      <c r="Q135" s="15"/>
      <c r="R135" s="16"/>
      <c r="S135" s="9" t="s">
        <v>152</v>
      </c>
      <c r="T135" s="9"/>
      <c r="U135" s="9"/>
      <c r="V135" s="9"/>
    </row>
    <row r="136" spans="2:22">
      <c r="B136" s="9">
        <f t="shared" si="4"/>
        <v>134</v>
      </c>
      <c r="C136" s="19"/>
      <c r="D136" s="25"/>
      <c r="E136" s="20"/>
      <c r="F136" s="26"/>
      <c r="G136" s="38"/>
      <c r="H136" s="32"/>
      <c r="I136" s="31" t="s">
        <v>162</v>
      </c>
      <c r="J136" s="15" t="s">
        <v>163</v>
      </c>
      <c r="K136" s="15"/>
      <c r="L136" s="15"/>
      <c r="M136" s="15"/>
      <c r="N136" s="15"/>
      <c r="O136" s="15"/>
      <c r="P136" s="15"/>
      <c r="Q136" s="15"/>
      <c r="R136" s="16"/>
      <c r="S136" s="9" t="s">
        <v>152</v>
      </c>
      <c r="T136" s="18" t="s">
        <v>156</v>
      </c>
      <c r="U136" s="9"/>
      <c r="V136" s="9"/>
    </row>
    <row r="137" spans="2:22">
      <c r="B137" s="9">
        <f t="shared" si="4"/>
        <v>135</v>
      </c>
      <c r="C137" s="19"/>
      <c r="D137" s="25"/>
      <c r="E137" s="20"/>
      <c r="F137" s="26"/>
      <c r="G137" s="38"/>
      <c r="H137" s="32"/>
      <c r="I137" s="15"/>
      <c r="J137" s="39" t="s">
        <v>71</v>
      </c>
      <c r="K137" s="39"/>
      <c r="L137" s="39"/>
      <c r="M137" s="39"/>
      <c r="N137" s="39"/>
      <c r="O137" s="39"/>
      <c r="P137" s="39"/>
      <c r="Q137" s="39"/>
      <c r="R137" s="40"/>
      <c r="S137" s="41" t="s">
        <v>155</v>
      </c>
      <c r="T137" s="42" t="s">
        <v>156</v>
      </c>
      <c r="U137" s="43"/>
      <c r="V137" s="43"/>
    </row>
    <row r="138" spans="2:22">
      <c r="B138" s="9">
        <f t="shared" si="4"/>
        <v>136</v>
      </c>
      <c r="C138" s="19"/>
      <c r="D138" s="25"/>
      <c r="E138" s="20"/>
      <c r="F138" s="26"/>
      <c r="G138" s="38"/>
      <c r="H138" s="32"/>
      <c r="I138" s="15"/>
      <c r="J138" s="39"/>
      <c r="K138" s="31" t="s">
        <v>162</v>
      </c>
      <c r="L138" s="37" t="s">
        <v>155</v>
      </c>
      <c r="M138" s="15"/>
      <c r="N138" s="15"/>
      <c r="O138" s="15"/>
      <c r="P138" s="15"/>
      <c r="Q138" s="15"/>
      <c r="R138" s="16"/>
      <c r="S138" s="9" t="s">
        <v>152</v>
      </c>
      <c r="T138" s="9"/>
      <c r="U138" s="9"/>
      <c r="V138" s="9"/>
    </row>
    <row r="139" spans="2:22">
      <c r="B139" s="9">
        <f t="shared" si="4"/>
        <v>137</v>
      </c>
      <c r="C139" s="19"/>
      <c r="D139" s="25"/>
      <c r="E139" s="20"/>
      <c r="F139" s="26"/>
      <c r="G139" s="38"/>
      <c r="H139" s="32"/>
      <c r="I139" s="15"/>
      <c r="J139" s="39"/>
      <c r="K139" s="31" t="s">
        <v>162</v>
      </c>
      <c r="L139" s="37" t="s">
        <v>155</v>
      </c>
      <c r="M139" s="15"/>
      <c r="N139" s="15"/>
      <c r="O139" s="15"/>
      <c r="P139" s="15"/>
      <c r="Q139" s="15"/>
      <c r="R139" s="16"/>
      <c r="S139" s="9" t="s">
        <v>152</v>
      </c>
      <c r="T139" s="9"/>
      <c r="U139" s="9"/>
      <c r="V139" s="9"/>
    </row>
    <row r="140" spans="2:22">
      <c r="B140" s="9">
        <f t="shared" si="4"/>
        <v>138</v>
      </c>
      <c r="C140" s="19"/>
      <c r="D140" s="25"/>
      <c r="E140" s="20"/>
      <c r="F140" s="26"/>
      <c r="G140" s="38"/>
      <c r="H140" s="15" t="s">
        <v>273</v>
      </c>
      <c r="I140" s="15"/>
      <c r="J140" s="15"/>
      <c r="K140" s="15"/>
      <c r="L140" s="15"/>
      <c r="M140" s="15"/>
      <c r="N140" s="15"/>
      <c r="O140" s="15"/>
      <c r="P140" s="15"/>
      <c r="Q140" s="15"/>
      <c r="R140" s="16"/>
      <c r="S140" s="9" t="s">
        <v>152</v>
      </c>
      <c r="T140" s="18" t="s">
        <v>156</v>
      </c>
      <c r="U140" s="9"/>
      <c r="V140" s="9"/>
    </row>
    <row r="141" spans="2:22">
      <c r="B141" s="9">
        <f t="shared" si="4"/>
        <v>139</v>
      </c>
      <c r="C141" s="19"/>
      <c r="D141" s="25"/>
      <c r="E141" s="20"/>
      <c r="F141" s="15" t="s">
        <v>190</v>
      </c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6"/>
      <c r="S141" s="9" t="s">
        <v>152</v>
      </c>
      <c r="T141" s="18" t="s">
        <v>156</v>
      </c>
      <c r="U141" s="9"/>
      <c r="V141" s="9"/>
    </row>
    <row r="142" spans="2:22">
      <c r="B142" s="9">
        <f t="shared" si="4"/>
        <v>140</v>
      </c>
      <c r="C142" s="19"/>
      <c r="D142" s="25"/>
      <c r="E142" s="20"/>
      <c r="F142" s="26" t="s">
        <v>2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7"/>
      <c r="S142" s="28" t="s">
        <v>155</v>
      </c>
      <c r="T142" s="29" t="s">
        <v>156</v>
      </c>
      <c r="U142" s="30"/>
      <c r="V142" s="30"/>
    </row>
    <row r="143" spans="2:22">
      <c r="B143" s="9">
        <f t="shared" si="4"/>
        <v>141</v>
      </c>
      <c r="C143" s="19"/>
      <c r="D143" s="25"/>
      <c r="E143" s="20"/>
      <c r="F143" s="26"/>
      <c r="G143" s="31" t="s">
        <v>162</v>
      </c>
      <c r="H143" s="15" t="s">
        <v>163</v>
      </c>
      <c r="I143" s="15"/>
      <c r="J143" s="15"/>
      <c r="K143" s="15"/>
      <c r="L143" s="15"/>
      <c r="M143" s="15"/>
      <c r="N143" s="15"/>
      <c r="O143" s="15"/>
      <c r="P143" s="15"/>
      <c r="Q143" s="15"/>
      <c r="R143" s="16"/>
      <c r="S143" s="9" t="s">
        <v>152</v>
      </c>
      <c r="T143" s="18" t="s">
        <v>156</v>
      </c>
      <c r="U143" s="9"/>
      <c r="V143" s="9"/>
    </row>
    <row r="144" spans="2:22">
      <c r="B144" s="9">
        <f t="shared" si="4"/>
        <v>142</v>
      </c>
      <c r="C144" s="19"/>
      <c r="D144" s="25"/>
      <c r="E144" s="20"/>
      <c r="F144" s="26"/>
      <c r="G144" s="15"/>
      <c r="H144" s="15" t="s">
        <v>71</v>
      </c>
      <c r="I144" s="15"/>
      <c r="J144" s="15"/>
      <c r="K144" s="15"/>
      <c r="L144" s="15"/>
      <c r="M144" s="15"/>
      <c r="N144" s="15"/>
      <c r="O144" s="15"/>
      <c r="P144" s="15"/>
      <c r="Q144" s="15"/>
      <c r="R144" s="16"/>
      <c r="S144" s="9" t="s">
        <v>152</v>
      </c>
      <c r="T144" s="18" t="s">
        <v>156</v>
      </c>
      <c r="U144" s="9"/>
      <c r="V144" s="9"/>
    </row>
    <row r="145" spans="2:22">
      <c r="B145" s="9">
        <f t="shared" si="4"/>
        <v>143</v>
      </c>
      <c r="C145" s="19"/>
      <c r="D145" s="25"/>
      <c r="E145" s="20"/>
      <c r="F145" s="26"/>
      <c r="G145" s="31" t="s">
        <v>162</v>
      </c>
      <c r="H145" s="15" t="s">
        <v>163</v>
      </c>
      <c r="I145" s="15"/>
      <c r="J145" s="15"/>
      <c r="K145" s="15"/>
      <c r="L145" s="15"/>
      <c r="M145" s="15"/>
      <c r="N145" s="15"/>
      <c r="O145" s="15"/>
      <c r="P145" s="15"/>
      <c r="Q145" s="15"/>
      <c r="R145" s="16"/>
      <c r="S145" s="9" t="s">
        <v>152</v>
      </c>
      <c r="T145" s="18" t="s">
        <v>156</v>
      </c>
      <c r="U145" s="9"/>
      <c r="V145" s="9"/>
    </row>
    <row r="146" spans="2:22">
      <c r="B146" s="9">
        <f t="shared" si="4"/>
        <v>144</v>
      </c>
      <c r="C146" s="19"/>
      <c r="D146" s="25"/>
      <c r="E146" s="20"/>
      <c r="F146" s="26"/>
      <c r="G146" s="15"/>
      <c r="H146" s="15" t="s">
        <v>71</v>
      </c>
      <c r="I146" s="15"/>
      <c r="J146" s="15"/>
      <c r="K146" s="15"/>
      <c r="L146" s="15"/>
      <c r="M146" s="15"/>
      <c r="N146" s="15"/>
      <c r="O146" s="15"/>
      <c r="P146" s="15"/>
      <c r="Q146" s="15"/>
      <c r="R146" s="16"/>
      <c r="S146" s="9" t="s">
        <v>152</v>
      </c>
      <c r="T146" s="18" t="s">
        <v>156</v>
      </c>
      <c r="U146" s="9"/>
      <c r="V146" s="9"/>
    </row>
    <row r="147" spans="2:22">
      <c r="B147" s="9">
        <f t="shared" si="4"/>
        <v>145</v>
      </c>
      <c r="C147" s="19"/>
      <c r="D147" s="25"/>
      <c r="E147" s="20"/>
      <c r="F147" s="15" t="s">
        <v>274</v>
      </c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6"/>
      <c r="S147" s="9" t="s">
        <v>152</v>
      </c>
      <c r="T147" s="18" t="s">
        <v>156</v>
      </c>
      <c r="U147" s="9"/>
      <c r="V147" s="9"/>
    </row>
    <row r="148" spans="2:22">
      <c r="B148" s="9">
        <f t="shared" si="4"/>
        <v>146</v>
      </c>
      <c r="C148" s="19"/>
      <c r="D148" s="25"/>
      <c r="E148" s="20"/>
      <c r="F148" s="15" t="s">
        <v>275</v>
      </c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6"/>
      <c r="S148" s="9" t="s">
        <v>152</v>
      </c>
      <c r="T148" s="18" t="s">
        <v>156</v>
      </c>
      <c r="U148" s="9"/>
      <c r="V148" s="9"/>
    </row>
    <row r="149" spans="2:22">
      <c r="B149" s="9">
        <f t="shared" si="4"/>
        <v>147</v>
      </c>
      <c r="C149" s="19"/>
      <c r="D149" s="25"/>
      <c r="E149" s="20"/>
      <c r="F149" s="26" t="s">
        <v>79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7"/>
      <c r="S149" s="28" t="s">
        <v>155</v>
      </c>
      <c r="T149" s="29" t="s">
        <v>156</v>
      </c>
      <c r="U149" s="30"/>
      <c r="V149" s="30"/>
    </row>
    <row r="150" spans="2:22">
      <c r="B150" s="9">
        <f t="shared" si="4"/>
        <v>148</v>
      </c>
      <c r="C150" s="19"/>
      <c r="D150" s="25"/>
      <c r="E150" s="20"/>
      <c r="F150" s="26"/>
      <c r="G150" s="31" t="s">
        <v>162</v>
      </c>
      <c r="H150" s="15" t="s">
        <v>276</v>
      </c>
      <c r="I150" s="15"/>
      <c r="J150" s="15"/>
      <c r="K150" s="15"/>
      <c r="L150" s="15"/>
      <c r="M150" s="15"/>
      <c r="N150" s="15"/>
      <c r="O150" s="15"/>
      <c r="P150" s="15"/>
      <c r="Q150" s="15"/>
      <c r="R150" s="16"/>
      <c r="S150" s="9" t="s">
        <v>152</v>
      </c>
      <c r="T150" s="18" t="s">
        <v>156</v>
      </c>
      <c r="U150" s="9"/>
      <c r="V150" s="9"/>
    </row>
    <row r="151" spans="2:22">
      <c r="B151" s="9">
        <f t="shared" si="4"/>
        <v>149</v>
      </c>
      <c r="C151" s="19"/>
      <c r="D151" s="25"/>
      <c r="E151" s="20"/>
      <c r="F151" s="26"/>
      <c r="G151" s="15"/>
      <c r="H151" s="15" t="s">
        <v>277</v>
      </c>
      <c r="I151" s="15"/>
      <c r="J151" s="15"/>
      <c r="K151" s="15"/>
      <c r="L151" s="15"/>
      <c r="M151" s="15"/>
      <c r="N151" s="15"/>
      <c r="O151" s="15"/>
      <c r="P151" s="15"/>
      <c r="Q151" s="15"/>
      <c r="R151" s="16"/>
      <c r="S151" s="9" t="s">
        <v>152</v>
      </c>
      <c r="T151" s="18" t="s">
        <v>156</v>
      </c>
      <c r="U151" s="9"/>
      <c r="V151" s="9"/>
    </row>
    <row r="152" spans="2:22">
      <c r="B152" s="9">
        <f t="shared" si="4"/>
        <v>150</v>
      </c>
      <c r="C152" s="19"/>
      <c r="D152" s="25"/>
      <c r="E152" s="20"/>
      <c r="F152" s="26"/>
      <c r="G152" s="31" t="s">
        <v>162</v>
      </c>
      <c r="H152" s="15" t="s">
        <v>276</v>
      </c>
      <c r="I152" s="15"/>
      <c r="J152" s="15"/>
      <c r="K152" s="15"/>
      <c r="L152" s="15"/>
      <c r="M152" s="15"/>
      <c r="N152" s="15"/>
      <c r="O152" s="15"/>
      <c r="P152" s="15"/>
      <c r="Q152" s="15"/>
      <c r="R152" s="16"/>
      <c r="S152" s="9" t="s">
        <v>152</v>
      </c>
      <c r="T152" s="18" t="s">
        <v>156</v>
      </c>
      <c r="U152" s="9"/>
      <c r="V152" s="9"/>
    </row>
    <row r="153" spans="2:22">
      <c r="B153" s="9">
        <f t="shared" si="4"/>
        <v>151</v>
      </c>
      <c r="C153" s="19"/>
      <c r="D153" s="25"/>
      <c r="E153" s="20"/>
      <c r="F153" s="26"/>
      <c r="G153" s="15"/>
      <c r="H153" s="15" t="s">
        <v>277</v>
      </c>
      <c r="I153" s="15"/>
      <c r="J153" s="15"/>
      <c r="K153" s="15"/>
      <c r="L153" s="15"/>
      <c r="M153" s="15"/>
      <c r="N153" s="15"/>
      <c r="O153" s="15"/>
      <c r="P153" s="15"/>
      <c r="Q153" s="15"/>
      <c r="R153" s="16"/>
      <c r="S153" s="9" t="s">
        <v>152</v>
      </c>
      <c r="T153" s="18" t="s">
        <v>156</v>
      </c>
      <c r="U153" s="9"/>
      <c r="V153" s="9"/>
    </row>
  </sheetData>
  <phoneticPr fontId="1"/>
  <hyperlinks>
    <hyperlink ref="T4" r:id="rId1" tooltip="http://docs.aws.amazon.com/AWSCloudFormation/latest/UserGuide/aws-properties-ec2-instance.html" xr:uid="{1DE44425-72D1-43DE-940F-F927B6E5B072}"/>
    <hyperlink ref="T6" r:id="rId2" location="cfn-ec2-instance-additionalinfo" tooltip="http://docs.aws.amazon.com/AWSCloudFormation/latest/UserGuide/aws-properties-ec2-instance.html#cfn-ec2-instance-additionalinfo" xr:uid="{CCB488C9-67B9-49C8-831A-DFC59347B6F8}"/>
    <hyperlink ref="T7" r:id="rId3" location="cfn-ec2-instance-affinity" tooltip="http://docs.aws.amazon.com/AWSCloudFormation/latest/UserGuide/aws-properties-ec2-instance.html#cfn-ec2-instance-affinity" xr:uid="{6ED72493-8FA7-4A70-BF17-8229E80D910E}"/>
    <hyperlink ref="T8" r:id="rId4" location="cfn-ec2-instance-availabilityzone" tooltip="http://docs.aws.amazon.com/AWSCloudFormation/latest/UserGuide/aws-properties-ec2-instance.html#cfn-ec2-instance-availabilityzone" xr:uid="{70A47D75-C7DA-42F2-B42C-324E837785EA}"/>
    <hyperlink ref="T9" r:id="rId5" location="cfn-ec2-instance-blockdevicemappings" tooltip="http://docs.aws.amazon.com/AWSCloudFormation/latest/UserGuide/aws-properties-ec2-instance.html#cfn-ec2-instance-blockdevicemappings" xr:uid="{01B12481-7F91-4734-AB11-44FCD1467603}"/>
    <hyperlink ref="T10" r:id="rId6" location="cfn-ec2-blockdev-mapping-devicename" tooltip="http://docs.aws.amazon.com/AWSCloudFormation/latest/UserGuide/aws-properties-ec2-blockdev-mapping.html#cfn-ec2-blockdev-mapping-devicename" xr:uid="{4D734F54-5A4F-41B3-B7AB-C8AEE65B2417}"/>
    <hyperlink ref="T11" r:id="rId7" location="cfn-ec2-blockdev-mapping-ebs" tooltip="http://docs.aws.amazon.com/AWSCloudFormation/latest/UserGuide/aws-properties-ec2-blockdev-mapping.html#cfn-ec2-blockdev-mapping-ebs" xr:uid="{2B92617D-1B92-4CD4-BAC8-7B0911FFE1DC}"/>
    <hyperlink ref="T12" r:id="rId8" location="cfn-ec2-blockdev-template-deleteontermination" tooltip="http://docs.aws.amazon.com/AWSCloudFormation/latest/UserGuide/aws-properties-ec2-blockdev-template.html#cfn-ec2-blockdev-template-deleteontermination" xr:uid="{4D9D5D82-4F12-4592-B16D-11E1FBA2333C}"/>
    <hyperlink ref="T13" r:id="rId9" location="cfn-ec2-blockdev-template-encrypted" tooltip="http://docs.aws.amazon.com/AWSCloudFormation/latest/UserGuide/aws-properties-ec2-blockdev-template.html#cfn-ec2-blockdev-template-encrypted" xr:uid="{63570C14-21E4-4978-91A8-526A74AE8515}"/>
    <hyperlink ref="T14" r:id="rId10" location="cfn-ec2-blockdev-template-iops" tooltip="http://docs.aws.amazon.com/AWSCloudFormation/latest/UserGuide/aws-properties-ec2-blockdev-template.html#cfn-ec2-blockdev-template-iops" xr:uid="{0E08A851-DF45-45C7-A6CE-641C04302177}"/>
    <hyperlink ref="T15" r:id="rId11" location="cfn-ec2-instance-ebs-kmskeyid" tooltip="http://docs.aws.amazon.com/AWSCloudFormation/latest/UserGuide/aws-properties-ec2-blockdev-template.html#cfn-ec2-instance-ebs-kmskeyid" xr:uid="{3DFFBB90-5075-4440-99C5-98762EA54176}"/>
    <hyperlink ref="T16" r:id="rId12" location="cfn-ec2-blockdev-template-snapshotid" tooltip="http://docs.aws.amazon.com/AWSCloudFormation/latest/UserGuide/aws-properties-ec2-blockdev-template.html#cfn-ec2-blockdev-template-snapshotid" xr:uid="{145B41E1-79A3-47D4-8B47-0A9FB403CBCB}"/>
    <hyperlink ref="T17" r:id="rId13" location="cfn-ec2-blockdev-template-volumesize" tooltip="http://docs.aws.amazon.com/AWSCloudFormation/latest/UserGuide/aws-properties-ec2-blockdev-template.html#cfn-ec2-blockdev-template-volumesize" xr:uid="{EC2C77ED-4346-4BCA-8E24-E7C5EB035E74}"/>
    <hyperlink ref="T18" r:id="rId14" location="cfn-ec2-blockdev-template-volumetype" tooltip="http://docs.aws.amazon.com/AWSCloudFormation/latest/UserGuide/aws-properties-ec2-blockdev-template.html#cfn-ec2-blockdev-template-volumetype" xr:uid="{98A6AF8A-BF1D-4B7F-99D7-D11BAC32064B}"/>
    <hyperlink ref="T19" r:id="rId15" location="cfn-ec2-blockdev-mapping-nodevice" tooltip="http://docs.aws.amazon.com/AWSCloudFormation/latest/UserGuide/aws-properties-ec2-blockdev-mapping.html#cfn-ec2-blockdev-mapping-nodevice" xr:uid="{48116F2D-C61D-4417-841D-60B67814FAEF}"/>
    <hyperlink ref="T20" r:id="rId16" location="cfn-ec2-blockdev-mapping-virtualname" tooltip="http://docs.aws.amazon.com/AWSCloudFormation/latest/UserGuide/aws-properties-ec2-blockdev-mapping.html#cfn-ec2-blockdev-mapping-virtualname" xr:uid="{104B87DC-EA75-46FB-9E75-A3E74CBD1CCB}"/>
    <hyperlink ref="T21" r:id="rId17" location="cfn-ec2-blockdev-mapping-devicename" tooltip="http://docs.aws.amazon.com/AWSCloudFormation/latest/UserGuide/aws-properties-ec2-blockdev-mapping.html#cfn-ec2-blockdev-mapping-devicename" xr:uid="{8BD57933-C4B5-4038-A1CB-7AD1B28EC87C}"/>
    <hyperlink ref="T22" r:id="rId18" location="cfn-ec2-blockdev-mapping-ebs" tooltip="http://docs.aws.amazon.com/AWSCloudFormation/latest/UserGuide/aws-properties-ec2-blockdev-mapping.html#cfn-ec2-blockdev-mapping-ebs" xr:uid="{FA395CC3-E533-456D-890C-8E44C895B9DA}"/>
    <hyperlink ref="T23" r:id="rId19" location="cfn-ec2-blockdev-template-deleteontermination" tooltip="http://docs.aws.amazon.com/AWSCloudFormation/latest/UserGuide/aws-properties-ec2-blockdev-template.html#cfn-ec2-blockdev-template-deleteontermination" xr:uid="{A06B2B20-993B-4082-AD64-264B76B83DF9}"/>
    <hyperlink ref="T24" r:id="rId20" location="cfn-ec2-blockdev-template-encrypted" tooltip="http://docs.aws.amazon.com/AWSCloudFormation/latest/UserGuide/aws-properties-ec2-blockdev-template.html#cfn-ec2-blockdev-template-encrypted" xr:uid="{80EA3232-CBEE-4EF7-910B-882D93EABDD6}"/>
    <hyperlink ref="T25" r:id="rId21" location="cfn-ec2-blockdev-template-iops" tooltip="http://docs.aws.amazon.com/AWSCloudFormation/latest/UserGuide/aws-properties-ec2-blockdev-template.html#cfn-ec2-blockdev-template-iops" xr:uid="{61B31BA5-5D58-42CE-8CFC-9B5B1707FD77}"/>
    <hyperlink ref="T26" r:id="rId22" location="cfn-ec2-instance-ebs-kmskeyid" tooltip="http://docs.aws.amazon.com/AWSCloudFormation/latest/UserGuide/aws-properties-ec2-blockdev-template.html#cfn-ec2-instance-ebs-kmskeyid" xr:uid="{E4BFC065-A19D-4B86-A5AF-3EC0C5DB854A}"/>
    <hyperlink ref="T27" r:id="rId23" location="cfn-ec2-blockdev-template-snapshotid" tooltip="http://docs.aws.amazon.com/AWSCloudFormation/latest/UserGuide/aws-properties-ec2-blockdev-template.html#cfn-ec2-blockdev-template-snapshotid" xr:uid="{9CB9AC07-9988-4C34-BA9C-B1841254DD35}"/>
    <hyperlink ref="T28" r:id="rId24" location="cfn-ec2-blockdev-template-volumesize" tooltip="http://docs.aws.amazon.com/AWSCloudFormation/latest/UserGuide/aws-properties-ec2-blockdev-template.html#cfn-ec2-blockdev-template-volumesize" xr:uid="{44FEEAD9-D127-46EA-9DE4-38EF3F054D08}"/>
    <hyperlink ref="T29" r:id="rId25" location="cfn-ec2-blockdev-template-volumetype" tooltip="http://docs.aws.amazon.com/AWSCloudFormation/latest/UserGuide/aws-properties-ec2-blockdev-template.html#cfn-ec2-blockdev-template-volumetype" xr:uid="{F069A5E2-71F0-435D-9F09-B51B01F81F64}"/>
    <hyperlink ref="T30" r:id="rId26" location="cfn-ec2-blockdev-mapping-nodevice" tooltip="http://docs.aws.amazon.com/AWSCloudFormation/latest/UserGuide/aws-properties-ec2-blockdev-mapping.html#cfn-ec2-blockdev-mapping-nodevice" xr:uid="{3DD7B5C9-F3B0-47D9-8347-0CFBBA7A0BDD}"/>
    <hyperlink ref="T31" r:id="rId27" location="cfn-ec2-blockdev-mapping-virtualname" tooltip="http://docs.aws.amazon.com/AWSCloudFormation/latest/UserGuide/aws-properties-ec2-blockdev-mapping.html#cfn-ec2-blockdev-mapping-virtualname" xr:uid="{C0CA4245-9380-4363-9CF1-91891AC2435A}"/>
    <hyperlink ref="T32" r:id="rId28" location="cfn-ec2-instance-cpuoptions" tooltip="http://docs.aws.amazon.com/AWSCloudFormation/latest/UserGuide/aws-properties-ec2-instance.html#cfn-ec2-instance-cpuoptions" xr:uid="{8937F292-9931-4221-8AA9-7BC5CEAB2C23}"/>
    <hyperlink ref="T33" r:id="rId29" location="cfn-ec2-instance-cpuoptions-corecount" tooltip="http://docs.aws.amazon.com/AWSCloudFormation/latest/UserGuide/aws-properties-ec2-instance-cpuoptions.html#cfn-ec2-instance-cpuoptions-corecount" xr:uid="{259B60AC-BD04-4C22-9CDD-BD785959E177}"/>
    <hyperlink ref="T34" r:id="rId30" location="cfn-ec2-instance-cpuoptions-threadspercore" tooltip="http://docs.aws.amazon.com/AWSCloudFormation/latest/UserGuide/aws-properties-ec2-instance-cpuoptions.html#cfn-ec2-instance-cpuoptions-threadspercore" xr:uid="{152D1582-4F99-4A48-A716-369A56FCD77E}"/>
    <hyperlink ref="T35" r:id="rId31" location="cfn-ec2-instance-creditspecification" tooltip="http://docs.aws.amazon.com/AWSCloudFormation/latest/UserGuide/aws-properties-ec2-instance.html#cfn-ec2-instance-creditspecification" xr:uid="{4FED6735-8573-41B7-B0E6-42B0395116A1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B0C4B202-38C0-4D25-8955-100BEF0A09C0}"/>
    <hyperlink ref="T37" r:id="rId33" location="cfn-ec2-instance-disableapitermination" tooltip="http://docs.aws.amazon.com/AWSCloudFormation/latest/UserGuide/aws-properties-ec2-instance.html#cfn-ec2-instance-disableapitermination" xr:uid="{226AED70-6891-48F9-8095-D55C274A525A}"/>
    <hyperlink ref="T38" r:id="rId34" location="cfn-ec2-instance-ebsoptimized" tooltip="http://docs.aws.amazon.com/AWSCloudFormation/latest/UserGuide/aws-properties-ec2-instance.html#cfn-ec2-instance-ebsoptimized" xr:uid="{2F1F7793-3558-4E85-90DF-5A4BA7958828}"/>
    <hyperlink ref="T39" r:id="rId35" location="cfn-ec2-instance-elasticgpuspecifications" tooltip="http://docs.aws.amazon.com/AWSCloudFormation/latest/UserGuide/aws-properties-ec2-instance.html#cfn-ec2-instance-elasticgpuspecifications" xr:uid="{436B8EC7-3585-418C-A541-46105FD36556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549873E9-1417-4D7F-826F-17F3F2D78A82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3CC52D93-C986-4822-9C8B-1F78D93B7A05}"/>
    <hyperlink ref="T42" r:id="rId38" location="cfn-ec2-instance-elasticinferenceaccelerators" tooltip="http://docs.aws.amazon.com/AWSCloudFormation/latest/UserGuide/aws-properties-ec2-instance.html#cfn-ec2-instance-elasticinferenceaccelerators" xr:uid="{033A4FA6-198E-4EF6-BAFB-24C183A35E42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F99EBCBB-2D89-4C7E-BF47-57E90D237AAC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0B1B32FE-CC3F-483F-95A8-04F40DFC381A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188AE8F5-1A9C-43E4-BC57-C386136B42AD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C98BE073-12B0-419D-8172-1451A2352FCC}"/>
    <hyperlink ref="T47" r:id="rId43" location="cfn-ec2-instance-hibernationoptions" tooltip="http://docs.aws.amazon.com/AWSCloudFormation/latest/UserGuide/aws-properties-ec2-instance.html#cfn-ec2-instance-hibernationoptions" xr:uid="{04D55C33-BB1B-4451-8B61-080366941D10}"/>
    <hyperlink ref="T48" r:id="rId44" location="cfn-ec2-instance-hibernationoptions-configured" tooltip="http://docs.aws.amazon.com/AWSCloudFormation/latest/UserGuide/aws-properties-ec2-instance-hibernationoptions.html#cfn-ec2-instance-hibernationoptions-configured" xr:uid="{EC7A3517-AC19-452B-8062-93DEAAE81EA8}"/>
    <hyperlink ref="T49" r:id="rId45" location="cfn-ec2-instance-hostid" tooltip="http://docs.aws.amazon.com/AWSCloudFormation/latest/UserGuide/aws-properties-ec2-instance.html#cfn-ec2-instance-hostid" xr:uid="{5886FEB3-F64F-4DA8-B6F0-A81E6E292980}"/>
    <hyperlink ref="T50" r:id="rId46" location="cfn-ec2-instance-hostresourcegrouparn" tooltip="http://docs.aws.amazon.com/AWSCloudFormation/latest/UserGuide/aws-properties-ec2-instance.html#cfn-ec2-instance-hostresourcegrouparn" xr:uid="{D7F1D113-3C78-4380-9886-B3C3577F7818}"/>
    <hyperlink ref="T51" r:id="rId47" location="cfn-ec2-instance-iaminstanceprofile" tooltip="http://docs.aws.amazon.com/AWSCloudFormation/latest/UserGuide/aws-properties-ec2-instance.html#cfn-ec2-instance-iaminstanceprofile" xr:uid="{4EEAB3F0-6ED6-4411-87E9-6F3AB400B363}"/>
    <hyperlink ref="T52" r:id="rId48" location="cfn-ec2-instance-imageid" tooltip="http://docs.aws.amazon.com/AWSCloudFormation/latest/UserGuide/aws-properties-ec2-instance.html#cfn-ec2-instance-imageid" xr:uid="{DECAC858-F8F1-4EFF-B698-62F041FA5E27}"/>
    <hyperlink ref="T53" r:id="rId49" location="cfn-ec2-instance-instanceinitiatedshutdownbehavior" tooltip="http://docs.aws.amazon.com/AWSCloudFormation/latest/UserGuide/aws-properties-ec2-instance.html#cfn-ec2-instance-instanceinitiatedshutdownbehavior" xr:uid="{B501454C-B08D-4284-8B9F-0C494C2AC89B}"/>
    <hyperlink ref="T54" r:id="rId50" location="cfn-ec2-instance-instancetype" tooltip="http://docs.aws.amazon.com/AWSCloudFormation/latest/UserGuide/aws-properties-ec2-instance.html#cfn-ec2-instance-instancetype" xr:uid="{0C7BFF64-F1C6-4DAB-B1C0-310D87BE6F5A}"/>
    <hyperlink ref="T55" r:id="rId51" location="cfn-ec2-instance-ipv6addresscount" tooltip="http://docs.aws.amazon.com/AWSCloudFormation/latest/UserGuide/aws-properties-ec2-instance.html#cfn-ec2-instance-ipv6addresscount" xr:uid="{EBFBB231-1447-4177-B258-FB8B4E71225B}"/>
    <hyperlink ref="T56" r:id="rId52" location="cfn-ec2-instance-ipv6addresses" tooltip="http://docs.aws.amazon.com/AWSCloudFormation/latest/UserGuide/aws-properties-ec2-instance.html#cfn-ec2-instance-ipv6addresses" xr:uid="{CC9559C7-90BC-4FC2-B64B-7B8DD4A1965D}"/>
    <hyperlink ref="T57" r:id="rId53" location="cfn-ec2-instance-instanceipv6address-ipv6address" tooltip="http://docs.aws.amazon.com/AWSCloudFormation/latest/UserGuide/aws-properties-ec2-instance-instanceipv6address.html#cfn-ec2-instance-instanceipv6address-ipv6address" xr:uid="{82DA05D4-CFEB-4C70-89EE-E0B180BDB70F}"/>
    <hyperlink ref="T58" r:id="rId54" location="cfn-ec2-instance-instanceipv6address-ipv6address" tooltip="http://docs.aws.amazon.com/AWSCloudFormation/latest/UserGuide/aws-properties-ec2-instance-instanceipv6address.html#cfn-ec2-instance-instanceipv6address-ipv6address" xr:uid="{4785C58C-BC0C-4C32-B7E4-F6C2A7A80115}"/>
    <hyperlink ref="T59" r:id="rId55" location="cfn-ec2-instance-kernelid" tooltip="http://docs.aws.amazon.com/AWSCloudFormation/latest/UserGuide/aws-properties-ec2-instance.html#cfn-ec2-instance-kernelid" xr:uid="{7487D577-F3A2-4CC9-9F78-A7D3C5746A9C}"/>
    <hyperlink ref="T60" r:id="rId56" location="cfn-ec2-instance-keyname" tooltip="http://docs.aws.amazon.com/AWSCloudFormation/latest/UserGuide/aws-properties-ec2-instance.html#cfn-ec2-instance-keyname" xr:uid="{B16778C0-1317-47F1-BFB6-D9F9E0E36E5D}"/>
    <hyperlink ref="T61" r:id="rId57" location="cfn-ec2-instance-launchtemplate" tooltip="http://docs.aws.amazon.com/AWSCloudFormation/latest/UserGuide/aws-properties-ec2-instance.html#cfn-ec2-instance-launchtemplate" xr:uid="{084126EF-84DD-4900-AB79-CC97D9AF7724}"/>
    <hyperlink ref="T62" r:id="rId58" location="cfn-ec2-instance-launchtemplatespecification-launchtemplateid" tooltip="http://docs.aws.amazon.com/AWSCloudFormation/latest/UserGuide/aws-properties-ec2-instance-launchtemplatespecification.html#cfn-ec2-instance-launchtemplatespecification-launchtemplateid" xr:uid="{AED126C1-6ABB-4A3C-81AF-B9550DCA8FB6}"/>
    <hyperlink ref="T63" r:id="rId59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4CC609F9-59FC-421E-ABC6-6970E5166194}"/>
    <hyperlink ref="T64" r:id="rId60" location="cfn-ec2-instance-launchtemplatespecification-version" tooltip="http://docs.aws.amazon.com/AWSCloudFormation/latest/UserGuide/aws-properties-ec2-instance-launchtemplatespecification.html#cfn-ec2-instance-launchtemplatespecification-version" xr:uid="{E703B7A4-B282-4B44-82B3-5777196125E8}"/>
    <hyperlink ref="T65" r:id="rId61" location="cfn-ec2-instance-licensespecifications" tooltip="http://docs.aws.amazon.com/AWSCloudFormation/latest/UserGuide/aws-properties-ec2-instance.html#cfn-ec2-instance-licensespecifications" xr:uid="{FBDC12F6-D4F9-4A4E-9874-17F9ED2694B1}"/>
    <hyperlink ref="T66" r:id="rId62" location="cfn-ec2-instance-licensespecification-licenseconfigurationarn" tooltip="http://docs.aws.amazon.com/AWSCloudFormation/latest/UserGuide/aws-properties-ec2-instance-licensespecification.html#cfn-ec2-instance-licensespecification-licenseconfigurationarn" xr:uid="{9F22586A-41FF-4845-8E3B-55B8DEDBD3BB}"/>
    <hyperlink ref="T67" r:id="rId63" location="cfn-ec2-instance-licensespecification-licenseconfigurationarn" tooltip="http://docs.aws.amazon.com/AWSCloudFormation/latest/UserGuide/aws-properties-ec2-instance-licensespecification.html#cfn-ec2-instance-licensespecification-licenseconfigurationarn" xr:uid="{17CC9CFB-5490-442F-827F-FCC7AF61312A}"/>
    <hyperlink ref="T68" r:id="rId64" location="cfn-ec2-instance-monitoring" tooltip="http://docs.aws.amazon.com/AWSCloudFormation/latest/UserGuide/aws-properties-ec2-instance.html#cfn-ec2-instance-monitoring" xr:uid="{409C764C-98D9-4AD8-B9A7-F89D7AFB34DC}"/>
    <hyperlink ref="T69" r:id="rId65" location="cfn-ec2-instance-networkinterfaces" tooltip="http://docs.aws.amazon.com/AWSCloudFormation/latest/UserGuide/aws-properties-ec2-instance.html#cfn-ec2-instance-networkinterfaces" xr:uid="{BEB6F494-98F1-4109-8928-BBC9BDD3C6BA}"/>
    <hyperlink ref="T70" r:id="rId66" location="aws-properties-ec2-network-iface-embedded-associatepubip" tooltip="http://docs.aws.amazon.com/AWSCloudFormation/latest/UserGuide/aws-properties-ec2-network-iface-embedded.html#aws-properties-ec2-network-iface-embedded-associatepubip" xr:uid="{A26EDD6C-14DB-4BE7-979E-42ECF881E948}"/>
    <hyperlink ref="T71" r:id="rId67" location="aws-properties-ec2-network-iface-embedded-delete" tooltip="http://docs.aws.amazon.com/AWSCloudFormation/latest/UserGuide/aws-properties-ec2-network-iface-embedded.html#aws-properties-ec2-network-iface-embedded-delete" xr:uid="{E1BE6463-A418-40A1-A94D-7FEF19E4C6EF}"/>
    <hyperlink ref="T72" r:id="rId68" location="aws-properties-ec2-network-iface-embedded-description" tooltip="http://docs.aws.amazon.com/AWSCloudFormation/latest/UserGuide/aws-properties-ec2-network-iface-embedded.html#aws-properties-ec2-network-iface-embedded-description" xr:uid="{A81F9284-C6D1-499C-ABE9-CBCF7E6452D5}"/>
    <hyperlink ref="T73" r:id="rId69" location="aws-properties-ec2-network-iface-embedded-deviceindex" tooltip="http://docs.aws.amazon.com/AWSCloudFormation/latest/UserGuide/aws-properties-ec2-network-iface-embedded.html#aws-properties-ec2-network-iface-embedded-deviceindex" xr:uid="{E623244C-B43F-4E41-9806-C10DDDB35CC1}"/>
    <hyperlink ref="T74" r:id="rId70" location="aws-properties-ec2-network-iface-embedded-groupset" tooltip="http://docs.aws.amazon.com/AWSCloudFormation/latest/UserGuide/aws-properties-ec2-network-iface-embedded.html#aws-properties-ec2-network-iface-embedded-groupset" xr:uid="{44A6DC66-31D8-485D-82CF-66CDCEA9F918}"/>
    <hyperlink ref="T77" r:id="rId71" location="cfn-ec2-instance-networkinterface-ipv6addresscount" tooltip="http://docs.aws.amazon.com/AWSCloudFormation/latest/UserGuide/aws-properties-ec2-network-iface-embedded.html#cfn-ec2-instance-networkinterface-ipv6addresscount" xr:uid="{BD026378-3534-4A1B-998F-307C46121250}"/>
    <hyperlink ref="T78" r:id="rId72" location="cfn-ec2-instance-networkinterface-ipv6addresses" tooltip="http://docs.aws.amazon.com/AWSCloudFormation/latest/UserGuide/aws-properties-ec2-network-iface-embedded.html#cfn-ec2-instance-networkinterface-ipv6addresses" xr:uid="{AAE8F0E4-736D-41A3-AA7C-064888F5E7A8}"/>
    <hyperlink ref="T79" r:id="rId73" location="cfn-ec2-instance-instanceipv6address-ipv6address" tooltip="http://docs.aws.amazon.com/AWSCloudFormation/latest/UserGuide/aws-properties-ec2-instance-instanceipv6address.html#cfn-ec2-instance-instanceipv6address-ipv6address" xr:uid="{BA916155-55B5-4ACD-ADAF-6FB06349DDB4}"/>
    <hyperlink ref="T80" r:id="rId74" location="cfn-ec2-instance-instanceipv6address-ipv6address" tooltip="http://docs.aws.amazon.com/AWSCloudFormation/latest/UserGuide/aws-properties-ec2-instance-instanceipv6address.html#cfn-ec2-instance-instanceipv6address-ipv6address" xr:uid="{F1008A5E-D7DC-468C-B929-8E25B82FF31C}"/>
    <hyperlink ref="T81" r:id="rId75" location="aws-properties-ec2-network-iface-embedded-network-iface" tooltip="http://docs.aws.amazon.com/AWSCloudFormation/latest/UserGuide/aws-properties-ec2-network-iface-embedded.html#aws-properties-ec2-network-iface-embedded-network-iface" xr:uid="{9D2F5A03-7D98-411E-AE51-E25A19135BE2}"/>
    <hyperlink ref="T82" r:id="rId76" location="aws-properties-ec2-network-iface-embedded-privateipaddress" tooltip="http://docs.aws.amazon.com/AWSCloudFormation/latest/UserGuide/aws-properties-ec2-network-iface-embedded.html#aws-properties-ec2-network-iface-embedded-privateipaddress" xr:uid="{4D13AA1F-F639-4E49-A00A-84378626D50C}"/>
    <hyperlink ref="T83" r:id="rId77" location="aws-properties-ec2-network-iface-embedded-privateipaddresses" tooltip="http://docs.aws.amazon.com/AWSCloudFormation/latest/UserGuide/aws-properties-ec2-network-iface-embedded.html#aws-properties-ec2-network-iface-embedded-privateipaddresses" xr:uid="{305B7387-94DA-475A-9CFF-C74BB6182AF9}"/>
    <hyperlink ref="T84" r:id="rId78" location="cfn-ec2-networkinterface-privateipspecification-primary" tooltip="http://docs.aws.amazon.com/AWSCloudFormation/latest/UserGuide/aws-properties-ec2-network-interface-privateipspec.html#cfn-ec2-networkinterface-privateipspecification-primary" xr:uid="{D5D951BC-1C74-4966-AF39-43A3B43F48C5}"/>
    <hyperlink ref="T85" r:id="rId7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440E6008-2273-4B10-AFAA-B924589820DE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828CBB9D-7E4E-4270-8AF9-C9925EFA3DDA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7B4A7B88-72F5-46A7-9C48-CB4CF5C693EC}"/>
    <hyperlink ref="T88" r:id="rId82" location="aws-properties-ec2-network-iface-embedded-secondprivateip" tooltip="http://docs.aws.amazon.com/AWSCloudFormation/latest/UserGuide/aws-properties-ec2-network-iface-embedded.html#aws-properties-ec2-network-iface-embedded-secondprivateip" xr:uid="{58DF6870-60C5-4800-B0A3-DBDA777213B2}"/>
    <hyperlink ref="T89" r:id="rId83" location="aws-properties-ec2-network-iface-embedded-subnetid" tooltip="http://docs.aws.amazon.com/AWSCloudFormation/latest/UserGuide/aws-properties-ec2-network-iface-embedded.html#aws-properties-ec2-network-iface-embedded-subnetid" xr:uid="{8C15439C-E264-497B-B1E6-5DBDDEE3CF06}"/>
    <hyperlink ref="T90" r:id="rId84" location="aws-properties-ec2-network-iface-embedded-associatepubip" tooltip="http://docs.aws.amazon.com/AWSCloudFormation/latest/UserGuide/aws-properties-ec2-network-iface-embedded.html#aws-properties-ec2-network-iface-embedded-associatepubip" xr:uid="{18B09C66-8E08-4933-BC25-9C820A38CCF2}"/>
    <hyperlink ref="T91" r:id="rId85" location="aws-properties-ec2-network-iface-embedded-delete" tooltip="http://docs.aws.amazon.com/AWSCloudFormation/latest/UserGuide/aws-properties-ec2-network-iface-embedded.html#aws-properties-ec2-network-iface-embedded-delete" xr:uid="{3DA84A75-46EE-4EAB-9E83-6E15AF635D0F}"/>
    <hyperlink ref="T92" r:id="rId86" location="aws-properties-ec2-network-iface-embedded-description" tooltip="http://docs.aws.amazon.com/AWSCloudFormation/latest/UserGuide/aws-properties-ec2-network-iface-embedded.html#aws-properties-ec2-network-iface-embedded-description" xr:uid="{96F49A40-1B49-462F-ABB6-68E0C9F46585}"/>
    <hyperlink ref="T93" r:id="rId87" location="aws-properties-ec2-network-iface-embedded-deviceindex" tooltip="http://docs.aws.amazon.com/AWSCloudFormation/latest/UserGuide/aws-properties-ec2-network-iface-embedded.html#aws-properties-ec2-network-iface-embedded-deviceindex" xr:uid="{51B9128B-57B4-4E30-9131-8441F740B02D}"/>
    <hyperlink ref="T94" r:id="rId88" location="aws-properties-ec2-network-iface-embedded-groupset" tooltip="http://docs.aws.amazon.com/AWSCloudFormation/latest/UserGuide/aws-properties-ec2-network-iface-embedded.html#aws-properties-ec2-network-iface-embedded-groupset" xr:uid="{0C047A29-A574-4580-993B-E20D1FB35A88}"/>
    <hyperlink ref="T97" r:id="rId89" location="cfn-ec2-instance-networkinterface-ipv6addresscount" tooltip="http://docs.aws.amazon.com/AWSCloudFormation/latest/UserGuide/aws-properties-ec2-network-iface-embedded.html#cfn-ec2-instance-networkinterface-ipv6addresscount" xr:uid="{4B86AB45-CC1C-4031-90D6-07E0B36E37FD}"/>
    <hyperlink ref="T98" r:id="rId90" location="cfn-ec2-instance-networkinterface-ipv6addresses" tooltip="http://docs.aws.amazon.com/AWSCloudFormation/latest/UserGuide/aws-properties-ec2-network-iface-embedded.html#cfn-ec2-instance-networkinterface-ipv6addresses" xr:uid="{A0A38526-B6AF-4D43-BA01-A7941D799164}"/>
    <hyperlink ref="T99" r:id="rId91" location="cfn-ec2-instance-instanceipv6address-ipv6address" tooltip="http://docs.aws.amazon.com/AWSCloudFormation/latest/UserGuide/aws-properties-ec2-instance-instanceipv6address.html#cfn-ec2-instance-instanceipv6address-ipv6address" xr:uid="{19A1F0A0-363C-4DD8-9401-D53901AA45FE}"/>
    <hyperlink ref="T100" r:id="rId92" location="cfn-ec2-instance-instanceipv6address-ipv6address" tooltip="http://docs.aws.amazon.com/AWSCloudFormation/latest/UserGuide/aws-properties-ec2-instance-instanceipv6address.html#cfn-ec2-instance-instanceipv6address-ipv6address" xr:uid="{767879FD-BB33-412D-BFDB-D5851FBF6559}"/>
    <hyperlink ref="T101" r:id="rId93" location="aws-properties-ec2-network-iface-embedded-network-iface" tooltip="http://docs.aws.amazon.com/AWSCloudFormation/latest/UserGuide/aws-properties-ec2-network-iface-embedded.html#aws-properties-ec2-network-iface-embedded-network-iface" xr:uid="{1D119557-CD5D-47AA-9FA9-533C9F798919}"/>
    <hyperlink ref="T102" r:id="rId94" location="aws-properties-ec2-network-iface-embedded-privateipaddress" tooltip="http://docs.aws.amazon.com/AWSCloudFormation/latest/UserGuide/aws-properties-ec2-network-iface-embedded.html#aws-properties-ec2-network-iface-embedded-privateipaddress" xr:uid="{2349113D-302B-4116-957C-6E4309F45B44}"/>
    <hyperlink ref="T103" r:id="rId95" location="aws-properties-ec2-network-iface-embedded-privateipaddresses" tooltip="http://docs.aws.amazon.com/AWSCloudFormation/latest/UserGuide/aws-properties-ec2-network-iface-embedded.html#aws-properties-ec2-network-iface-embedded-privateipaddresses" xr:uid="{D0BF6426-5F5F-484E-874F-B5F275AC82B2}"/>
    <hyperlink ref="T104" r:id="rId96" location="cfn-ec2-networkinterface-privateipspecification-primary" tooltip="http://docs.aws.amazon.com/AWSCloudFormation/latest/UserGuide/aws-properties-ec2-network-interface-privateipspec.html#cfn-ec2-networkinterface-privateipspecification-primary" xr:uid="{E5B4F32E-7F89-4AE2-B4AA-A647D94B1DF5}"/>
    <hyperlink ref="T105" r:id="rId97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6D3ECFAA-1EF0-4C64-B7C8-87E0B8F3E1DD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7671F810-2C44-4CAC-BC9D-B6B6EB800105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AF0E15E8-B595-491F-A57C-4E5E7CAE9A9C}"/>
    <hyperlink ref="T108" r:id="rId100" location="aws-properties-ec2-network-iface-embedded-secondprivateip" tooltip="http://docs.aws.amazon.com/AWSCloudFormation/latest/UserGuide/aws-properties-ec2-network-iface-embedded.html#aws-properties-ec2-network-iface-embedded-secondprivateip" xr:uid="{EF1BBD3C-E1FA-41FC-AB5E-80F04E7CE601}"/>
    <hyperlink ref="T109" r:id="rId101" location="aws-properties-ec2-network-iface-embedded-subnetid" tooltip="http://docs.aws.amazon.com/AWSCloudFormation/latest/UserGuide/aws-properties-ec2-network-iface-embedded.html#aws-properties-ec2-network-iface-embedded-subnetid" xr:uid="{85D4F89A-BD57-41F3-B785-3386297EF41F}"/>
    <hyperlink ref="T110" r:id="rId102" location="cfn-ec2-instance-placementgroupname" tooltip="http://docs.aws.amazon.com/AWSCloudFormation/latest/UserGuide/aws-properties-ec2-instance.html#cfn-ec2-instance-placementgroupname" xr:uid="{15E569A7-1A75-412B-8A53-F72F44148E36}"/>
    <hyperlink ref="T111" r:id="rId103" location="cfn-ec2-instance-privateipaddress" tooltip="http://docs.aws.amazon.com/AWSCloudFormation/latest/UserGuide/aws-properties-ec2-instance.html#cfn-ec2-instance-privateipaddress" xr:uid="{63F313F7-E8E9-4E68-8416-A416709F3017}"/>
    <hyperlink ref="T112" r:id="rId104" location="cfn-ec2-instance-ramdiskid" tooltip="http://docs.aws.amazon.com/AWSCloudFormation/latest/UserGuide/aws-properties-ec2-instance.html#cfn-ec2-instance-ramdiskid" xr:uid="{A70FB0BD-E969-41FA-9E66-FA6735A864AF}"/>
    <hyperlink ref="T113" r:id="rId105" location="cfn-ec2-instance-securitygroupids" tooltip="http://docs.aws.amazon.com/AWSCloudFormation/latest/UserGuide/aws-properties-ec2-instance.html#cfn-ec2-instance-securitygroupids" xr:uid="{AF371BEF-E143-400F-A6F3-B5FC1562B84E}"/>
    <hyperlink ref="T116" r:id="rId106" location="cfn-ec2-instance-securitygroups" tooltip="http://docs.aws.amazon.com/AWSCloudFormation/latest/UserGuide/aws-properties-ec2-instance.html#cfn-ec2-instance-securitygroups" xr:uid="{A226C8C4-9AC3-4371-90B6-0F76BC3E7627}"/>
    <hyperlink ref="T119" r:id="rId107" location="cfn-ec2-instance-sourcedestcheck" tooltip="http://docs.aws.amazon.com/AWSCloudFormation/latest/UserGuide/aws-properties-ec2-instance.html#cfn-ec2-instance-sourcedestcheck" xr:uid="{66654A6F-B653-46CE-86FB-22D125AAB4F6}"/>
    <hyperlink ref="T120" r:id="rId108" location="cfn-ec2-instance-ssmassociations" tooltip="http://docs.aws.amazon.com/AWSCloudFormation/latest/UserGuide/aws-properties-ec2-instance.html#cfn-ec2-instance-ssmassociations" xr:uid="{8273480D-DDDA-4B8A-8FBE-5FD02B67C618}"/>
    <hyperlink ref="T121" r:id="rId109" location="cfn-ec2-instance-ssmassociations-associationparameters" tooltip="http://docs.aws.amazon.com/AWSCloudFormation/latest/UserGuide/aws-properties-ec2-instance-ssmassociations.html#cfn-ec2-instance-ssmassociations-associationparameters" xr:uid="{AF5A4A62-7458-4B6F-AC4E-62858D4D81D8}"/>
    <hyperlink ref="T122" r:id="rId11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E473C654-91AD-47FE-8A08-F5012E34165C}"/>
    <hyperlink ref="T123" r:id="rId11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224BB416-F7B7-40F6-BD42-AEAE8FB5A4CF}"/>
    <hyperlink ref="T126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F1C731B3-C79C-430C-8AEF-0DA61429B1F9}"/>
    <hyperlink ref="T127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6FE39552-1795-41D4-8DD6-379A2782AAA1}"/>
    <hyperlink ref="T130" r:id="rId114" location="cfn-ec2-instance-ssmassociations-documentname" tooltip="http://docs.aws.amazon.com/AWSCloudFormation/latest/UserGuide/aws-properties-ec2-instance-ssmassociations.html#cfn-ec2-instance-ssmassociations-documentname" xr:uid="{97DDD185-D696-46FE-8296-FD115AF4E0B2}"/>
    <hyperlink ref="T131" r:id="rId115" location="cfn-ec2-instance-ssmassociations-associationparameters" tooltip="http://docs.aws.amazon.com/AWSCloudFormation/latest/UserGuide/aws-properties-ec2-instance-ssmassociations.html#cfn-ec2-instance-ssmassociations-associationparameters" xr:uid="{DF41C632-D52E-4A42-A0FD-B5652A1CDE12}"/>
    <hyperlink ref="T132" r:id="rId116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37A9D9D0-6165-4183-8122-E27F369DABB6}"/>
    <hyperlink ref="T133" r:id="rId117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8BE0C5F-6A38-4A62-8F58-490262CEF810}"/>
    <hyperlink ref="T136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E03C8B6C-EFE4-4781-BC51-C50F1D4B9923}"/>
    <hyperlink ref="T137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71AC9F46-B0CF-40AE-9E05-E9F6A3D085F3}"/>
    <hyperlink ref="T140" r:id="rId120" location="cfn-ec2-instance-ssmassociations-documentname" tooltip="http://docs.aws.amazon.com/AWSCloudFormation/latest/UserGuide/aws-properties-ec2-instance-ssmassociations.html#cfn-ec2-instance-ssmassociations-documentname" xr:uid="{204FB9C4-C946-44F0-900E-F92909454861}"/>
    <hyperlink ref="T141" r:id="rId121" location="cfn-ec2-instance-subnetid" tooltip="http://docs.aws.amazon.com/AWSCloudFormation/latest/UserGuide/aws-properties-ec2-instance.html#cfn-ec2-instance-subnetid" xr:uid="{24B8154A-F643-4102-B1E3-B9CD73EFC838}"/>
    <hyperlink ref="T142" r:id="rId122" location="cfn-ec2-instance-tags" tooltip="http://docs.aws.amazon.com/AWSCloudFormation/latest/UserGuide/aws-properties-ec2-instance.html#cfn-ec2-instance-tags" xr:uid="{0B2E0157-E38A-457B-8A16-A7C06CE77720}"/>
    <hyperlink ref="T143" r:id="rId123" location="cfn-resource-tags-key" tooltip="http://docs.aws.amazon.com/AWSCloudFormation/latest/UserGuide/aws-properties-resource-tags.html#cfn-resource-tags-key" xr:uid="{A4DC68C5-36E8-4BB4-A7D8-C71F9F55A359}"/>
    <hyperlink ref="T144" r:id="rId124" location="cfn-resource-tags-value" tooltip="http://docs.aws.amazon.com/AWSCloudFormation/latest/UserGuide/aws-properties-resource-tags.html#cfn-resource-tags-value" xr:uid="{4C94CDAE-651B-480E-B632-ADFF210F5CA4}"/>
    <hyperlink ref="T145" r:id="rId125" location="cfn-resource-tags-key" tooltip="http://docs.aws.amazon.com/AWSCloudFormation/latest/UserGuide/aws-properties-resource-tags.html#cfn-resource-tags-key" xr:uid="{C26E8425-B108-42F5-B1B7-D028F68DA26A}"/>
    <hyperlink ref="T146" r:id="rId126" location="cfn-resource-tags-value" tooltip="http://docs.aws.amazon.com/AWSCloudFormation/latest/UserGuide/aws-properties-resource-tags.html#cfn-resource-tags-value" xr:uid="{A76ED1E0-54BF-4765-A060-67A34E5AAAD9}"/>
    <hyperlink ref="T147" r:id="rId127" location="cfn-ec2-instance-tenancy" tooltip="http://docs.aws.amazon.com/AWSCloudFormation/latest/UserGuide/aws-properties-ec2-instance.html#cfn-ec2-instance-tenancy" xr:uid="{FC68B01E-8485-433A-8D37-BD7309546148}"/>
    <hyperlink ref="T148" r:id="rId128" location="cfn-ec2-instance-userdata" tooltip="http://docs.aws.amazon.com/AWSCloudFormation/latest/UserGuide/aws-properties-ec2-instance.html#cfn-ec2-instance-userdata" xr:uid="{6F5EFE55-F751-4034-9128-281F48883E50}"/>
    <hyperlink ref="T149" r:id="rId129" location="cfn-ec2-instance-volumes" tooltip="http://docs.aws.amazon.com/AWSCloudFormation/latest/UserGuide/aws-properties-ec2-instance.html#cfn-ec2-instance-volumes" xr:uid="{6705BB82-D9A6-4317-9FE4-C44282EB5F27}"/>
    <hyperlink ref="T150" r:id="rId130" location="cfn-ec2-mountpoint-device" tooltip="http://docs.aws.amazon.com/AWSCloudFormation/latest/UserGuide/aws-properties-ec2-mount-point.html#cfn-ec2-mountpoint-device" xr:uid="{91BC2E6E-53DF-4E62-A50D-0CE0D549BC73}"/>
    <hyperlink ref="T151" r:id="rId131" location="cfn-ec2-mountpoint-volumeid" tooltip="http://docs.aws.amazon.com/AWSCloudFormation/latest/UserGuide/aws-properties-ec2-mount-point.html#cfn-ec2-mountpoint-volumeid" xr:uid="{41DD8916-9F1C-459F-A655-6F6ECEEF2D6D}"/>
    <hyperlink ref="T152" r:id="rId132" location="cfn-ec2-mountpoint-device" tooltip="http://docs.aws.amazon.com/AWSCloudFormation/latest/UserGuide/aws-properties-ec2-mount-point.html#cfn-ec2-mountpoint-device" xr:uid="{0700C84F-FDE4-4970-A999-20A88949C47B}"/>
    <hyperlink ref="T153" r:id="rId133" location="cfn-ec2-mountpoint-volumeid" tooltip="http://docs.aws.amazon.com/AWSCloudFormation/latest/UserGuide/aws-properties-ec2-mount-point.html#cfn-ec2-mountpoint-volumeid" xr:uid="{7E2F8CBD-8F1D-4718-A6FE-2E36A43B32E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Resources</vt:lpstr>
      <vt:lpstr>Setting</vt:lpstr>
      <vt:lpstr>ExternalValue</vt:lpstr>
      <vt:lpstr>CreatingResource</vt:lpstr>
      <vt:lpstr>VPC</vt:lpstr>
      <vt:lpstr>InternetGateway</vt:lpstr>
      <vt:lpstr>VPCGatewayAttachment</vt:lpstr>
      <vt:lpstr>Subnet</vt:lpstr>
      <vt:lpstr>RouteTable</vt:lpstr>
      <vt:lpstr>Route</vt:lpstr>
      <vt:lpstr>SubnetRouteTableAssociation</vt:lpstr>
      <vt:lpstr>NetworkAcl</vt:lpstr>
      <vt:lpstr>NetworkAclEntry</vt:lpstr>
      <vt:lpstr>SubnetNetworkAclAssociation</vt:lpstr>
      <vt:lpstr>PrefixList</vt:lpstr>
      <vt:lpstr>SecurityGroup</vt:lpstr>
      <vt:lpstr>SecurityGroupEgress</vt:lpstr>
      <vt:lpstr>SecurityGroupIngress</vt:lpstr>
      <vt:lpstr>Instance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2020-09-26T13:52:47Z</dcterms:modified>
</cp:coreProperties>
</file>