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00_Data\00_MiraiProject\mirai\ManageCFn\bin\"/>
    </mc:Choice>
  </mc:AlternateContent>
  <xr:revisionPtr revIDLastSave="0" documentId="13_ncr:1_{284D4ECF-7AD6-45C6-AE66-C033AD728C4C}" xr6:coauthVersionLast="45" xr6:coauthVersionMax="45" xr10:uidLastSave="{00000000-0000-0000-0000-000000000000}"/>
  <bookViews>
    <workbookView xWindow="-120" yWindow="-120" windowWidth="29040" windowHeight="15840" tabRatio="733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VPC" sheetId="1127" r:id="rId5"/>
    <sheet name="InternetGateway" sheetId="1128" r:id="rId6"/>
    <sheet name="VPCGatewayAttachment" sheetId="1129" r:id="rId7"/>
    <sheet name="DHCPOptions" sheetId="1130" r:id="rId8"/>
    <sheet name="VPCDHCPOptionsAssociation" sheetId="1131" r:id="rId9"/>
    <sheet name="Subnet" sheetId="1132" r:id="rId10"/>
    <sheet name="EIP" sheetId="1133" r:id="rId11"/>
    <sheet name="NatGateway" sheetId="1134" r:id="rId12"/>
    <sheet name="RouteTable" sheetId="1135" r:id="rId13"/>
    <sheet name="Route" sheetId="1136" r:id="rId14"/>
    <sheet name="SubnetRouteTableAssociation" sheetId="1137" r:id="rId15"/>
    <sheet name="NetworkAcl" sheetId="1138" r:id="rId16"/>
    <sheet name="NetworkAclEntry" sheetId="1139" r:id="rId17"/>
    <sheet name="SubnetNetworkAclAssociation" sheetId="1140" r:id="rId18"/>
    <sheet name="PrefixList" sheetId="1141" r:id="rId19"/>
    <sheet name="SecurityGroup" sheetId="1142" r:id="rId20"/>
    <sheet name="SecurityGroupEgress" sheetId="1143" r:id="rId21"/>
    <sheet name="SecurityGroupIngress" sheetId="1144" r:id="rId22"/>
    <sheet name="Role" sheetId="1145" r:id="rId23"/>
    <sheet name="InstanceProfile" sheetId="1146" r:id="rId24"/>
    <sheet name="ManagedPolicy" sheetId="1147" r:id="rId25"/>
    <sheet name="VPCEndpoint" sheetId="1149" r:id="rId26"/>
    <sheet name="Instance" sheetId="1148" r:id="rId2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" i="1136" l="1"/>
  <c r="V2" i="1134"/>
  <c r="V2" i="1133"/>
  <c r="Z15" i="1136" l="1"/>
  <c r="Y15" i="1136"/>
  <c r="X15" i="1136"/>
  <c r="V2" i="1142" l="1"/>
  <c r="V2" i="1144"/>
  <c r="V2" i="1143"/>
  <c r="AA7" i="1137" l="1"/>
  <c r="Z7" i="1137"/>
  <c r="Y7" i="1137"/>
  <c r="X7" i="1137"/>
  <c r="W7" i="1137"/>
  <c r="V7" i="1137"/>
  <c r="X6" i="1137"/>
  <c r="W6" i="1137"/>
  <c r="V6" i="1137"/>
  <c r="Z3" i="1136"/>
  <c r="Z2" i="1136"/>
  <c r="Y3" i="1136"/>
  <c r="Y2" i="1136"/>
  <c r="X3" i="1136"/>
  <c r="X2" i="1136"/>
  <c r="V2" i="1149" l="1"/>
  <c r="AA6" i="1137" l="1"/>
  <c r="Z6" i="1137"/>
  <c r="Z11" i="1149" l="1"/>
  <c r="Z10" i="1149"/>
  <c r="Z9" i="1149"/>
  <c r="B12" i="1149"/>
  <c r="B11" i="1149"/>
  <c r="Z21" i="1149"/>
  <c r="Z16" i="1149"/>
  <c r="Y18" i="1149"/>
  <c r="X18" i="1149"/>
  <c r="W18" i="1149"/>
  <c r="Y21" i="1149"/>
  <c r="X21" i="1149"/>
  <c r="W21" i="1149"/>
  <c r="Y16" i="1149"/>
  <c r="X16" i="1149"/>
  <c r="W16" i="1149"/>
  <c r="W14" i="1149"/>
  <c r="Z2" i="1149"/>
  <c r="Y2" i="1149"/>
  <c r="X2" i="1149"/>
  <c r="Z3" i="1149"/>
  <c r="Y3" i="1149"/>
  <c r="X3" i="1149"/>
  <c r="W3" i="1149"/>
  <c r="V10" i="1147"/>
  <c r="V6" i="1147"/>
  <c r="V3" i="1147"/>
  <c r="V9" i="1146"/>
  <c r="V6" i="1146"/>
  <c r="V3" i="1146"/>
  <c r="V19" i="1145"/>
  <c r="V3" i="1145"/>
  <c r="W3" i="1144"/>
  <c r="W3" i="1143"/>
  <c r="W3" i="1141"/>
  <c r="X51" i="1142"/>
  <c r="W51" i="1142"/>
  <c r="X3" i="1142"/>
  <c r="W12" i="1143" s="1"/>
  <c r="X2" i="1142"/>
  <c r="W3" i="1142"/>
  <c r="Y14" i="1149" s="1"/>
  <c r="X7" i="1142" l="1"/>
  <c r="W10" i="1143"/>
  <c r="W10" i="1144"/>
  <c r="W6" i="1142"/>
  <c r="W14" i="1144"/>
  <c r="W7" i="1142"/>
  <c r="X14" i="1149"/>
  <c r="X6" i="1142"/>
  <c r="B24" i="1141"/>
  <c r="B23" i="1141"/>
  <c r="B22" i="1141"/>
  <c r="B21" i="1141"/>
  <c r="B20" i="1141"/>
  <c r="B19" i="1141"/>
  <c r="AA7" i="1140"/>
  <c r="Z7" i="1140"/>
  <c r="Y7" i="1140"/>
  <c r="X7" i="1140"/>
  <c r="W7" i="1140"/>
  <c r="AA6" i="1140"/>
  <c r="Z6" i="1140"/>
  <c r="Y6" i="1140"/>
  <c r="X6" i="1140"/>
  <c r="W6" i="1140"/>
  <c r="V7" i="1140"/>
  <c r="V6" i="1140"/>
  <c r="AA3" i="1140"/>
  <c r="Z3" i="1140"/>
  <c r="Y3" i="1140"/>
  <c r="X3" i="1140"/>
  <c r="W3" i="1140"/>
  <c r="AA2" i="1140"/>
  <c r="Z2" i="1140"/>
  <c r="Y2" i="1140"/>
  <c r="X2" i="1140"/>
  <c r="W2" i="1140"/>
  <c r="V3" i="1140"/>
  <c r="W12" i="1139"/>
  <c r="V12" i="1139"/>
  <c r="W2" i="1139"/>
  <c r="W3" i="1139"/>
  <c r="V3" i="1139"/>
  <c r="V11" i="1138"/>
  <c r="V3" i="1138"/>
  <c r="Y6" i="1137"/>
  <c r="AA3" i="1137"/>
  <c r="Z3" i="1137"/>
  <c r="Y3" i="1137"/>
  <c r="X3" i="1137"/>
  <c r="W3" i="1137"/>
  <c r="AA2" i="1137"/>
  <c r="Z2" i="1137"/>
  <c r="Y2" i="1137"/>
  <c r="X2" i="1137"/>
  <c r="W2" i="1137"/>
  <c r="V3" i="1137"/>
  <c r="V15" i="1136"/>
  <c r="V10" i="1136"/>
  <c r="V3" i="1136"/>
  <c r="Y3" i="1135"/>
  <c r="Y11" i="1135"/>
  <c r="X11" i="1135"/>
  <c r="W11" i="1135"/>
  <c r="V11" i="1135"/>
  <c r="Y2" i="1135"/>
  <c r="X2" i="1135"/>
  <c r="W2" i="1135"/>
  <c r="X3" i="1135"/>
  <c r="W3" i="1135"/>
  <c r="V3" i="1135"/>
  <c r="V3" i="1132"/>
  <c r="W7" i="1134"/>
  <c r="W3" i="1134"/>
  <c r="W3" i="1133"/>
  <c r="W6" i="1134" s="1"/>
  <c r="AA17" i="1132"/>
  <c r="Z17" i="1132"/>
  <c r="Y17" i="1132"/>
  <c r="X17" i="1132"/>
  <c r="W17" i="1132"/>
  <c r="V17" i="1132"/>
  <c r="AA8" i="1132"/>
  <c r="Z8" i="1132"/>
  <c r="Y8" i="1132"/>
  <c r="X8" i="1132"/>
  <c r="W8" i="1132"/>
  <c r="V8" i="1132"/>
  <c r="AA7" i="1132"/>
  <c r="Z7" i="1132"/>
  <c r="Y7" i="1132"/>
  <c r="X7" i="1132"/>
  <c r="W7" i="1132"/>
  <c r="V7" i="1132"/>
  <c r="AA3" i="1132"/>
  <c r="Z3" i="1132"/>
  <c r="Y3" i="1132"/>
  <c r="W2" i="1132"/>
  <c r="X2" i="1132"/>
  <c r="Y2" i="1132"/>
  <c r="Z2" i="1132"/>
  <c r="AA2" i="1132"/>
  <c r="X3" i="1132"/>
  <c r="W3" i="1132"/>
  <c r="V7" i="1131"/>
  <c r="V6" i="1131"/>
  <c r="V3" i="1131"/>
  <c r="V6" i="1130"/>
  <c r="V3" i="1130"/>
  <c r="V7" i="1129"/>
  <c r="V6" i="1129"/>
  <c r="V3" i="1129"/>
  <c r="V3" i="1128"/>
  <c r="V3" i="1127"/>
  <c r="V6" i="1127"/>
  <c r="W2" i="1149"/>
  <c r="B21" i="1149"/>
  <c r="B20" i="1149"/>
  <c r="B19" i="1149"/>
  <c r="B18" i="1149"/>
  <c r="B17" i="1149"/>
  <c r="B16" i="1149"/>
  <c r="B15" i="1149"/>
  <c r="B14" i="1149"/>
  <c r="B13" i="1149"/>
  <c r="B10" i="1149"/>
  <c r="B9" i="1149"/>
  <c r="B8" i="1149"/>
  <c r="B7" i="1149"/>
  <c r="B6" i="1149"/>
  <c r="B5" i="1149"/>
  <c r="B4" i="1149"/>
  <c r="B3" i="1149"/>
  <c r="V2" i="1148"/>
  <c r="B155" i="1148"/>
  <c r="B154" i="1148"/>
  <c r="B153" i="1148"/>
  <c r="B152" i="1148"/>
  <c r="B151" i="1148"/>
  <c r="B150" i="1148"/>
  <c r="B149" i="1148"/>
  <c r="B148" i="1148"/>
  <c r="B147" i="1148"/>
  <c r="B146" i="1148"/>
  <c r="B145" i="1148"/>
  <c r="B144" i="1148"/>
  <c r="B143" i="1148"/>
  <c r="B142" i="1148"/>
  <c r="B141" i="1148"/>
  <c r="B140" i="1148"/>
  <c r="B139" i="1148"/>
  <c r="B138" i="1148"/>
  <c r="B137" i="1148"/>
  <c r="B136" i="1148"/>
  <c r="B135" i="1148"/>
  <c r="B134" i="1148"/>
  <c r="B133" i="1148"/>
  <c r="B132" i="1148"/>
  <c r="B131" i="1148"/>
  <c r="B130" i="1148"/>
  <c r="B129" i="1148"/>
  <c r="B128" i="1148"/>
  <c r="B127" i="1148"/>
  <c r="B126" i="1148"/>
  <c r="B125" i="1148"/>
  <c r="B124" i="1148"/>
  <c r="B123" i="1148"/>
  <c r="B122" i="1148"/>
  <c r="B121" i="1148"/>
  <c r="B120" i="1148"/>
  <c r="B119" i="1148"/>
  <c r="B118" i="1148"/>
  <c r="B117" i="1148"/>
  <c r="B116" i="1148"/>
  <c r="B115" i="1148"/>
  <c r="B114" i="1148"/>
  <c r="B113" i="1148"/>
  <c r="B112" i="1148"/>
  <c r="B111" i="1148"/>
  <c r="B110" i="1148"/>
  <c r="B109" i="1148"/>
  <c r="B108" i="1148"/>
  <c r="B107" i="1148"/>
  <c r="B106" i="1148"/>
  <c r="B105" i="1148"/>
  <c r="B104" i="1148"/>
  <c r="B103" i="1148"/>
  <c r="B102" i="1148"/>
  <c r="B101" i="1148"/>
  <c r="B100" i="1148"/>
  <c r="B99" i="1148"/>
  <c r="B98" i="1148"/>
  <c r="B97" i="1148"/>
  <c r="B96" i="1148"/>
  <c r="B95" i="1148"/>
  <c r="B94" i="1148"/>
  <c r="B93" i="1148"/>
  <c r="B92" i="1148"/>
  <c r="B91" i="1148"/>
  <c r="B90" i="1148"/>
  <c r="B89" i="1148"/>
  <c r="B88" i="1148"/>
  <c r="B87" i="1148"/>
  <c r="B86" i="1148"/>
  <c r="B85" i="1148"/>
  <c r="B84" i="1148"/>
  <c r="B83" i="1148"/>
  <c r="B82" i="1148"/>
  <c r="B81" i="1148"/>
  <c r="B80" i="1148"/>
  <c r="B79" i="1148"/>
  <c r="B78" i="1148"/>
  <c r="B77" i="1148"/>
  <c r="B76" i="1148"/>
  <c r="B75" i="1148"/>
  <c r="B74" i="1148"/>
  <c r="B73" i="1148"/>
  <c r="B72" i="1148"/>
  <c r="B71" i="1148"/>
  <c r="B70" i="1148"/>
  <c r="B69" i="1148"/>
  <c r="B68" i="1148"/>
  <c r="B67" i="1148"/>
  <c r="B66" i="1148"/>
  <c r="B65" i="1148"/>
  <c r="B64" i="1148"/>
  <c r="B63" i="1148"/>
  <c r="B62" i="1148"/>
  <c r="B61" i="1148"/>
  <c r="B60" i="1148"/>
  <c r="B59" i="1148"/>
  <c r="B58" i="1148"/>
  <c r="B57" i="1148"/>
  <c r="B56" i="1148"/>
  <c r="B55" i="1148"/>
  <c r="B54" i="1148"/>
  <c r="B53" i="1148"/>
  <c r="B52" i="1148"/>
  <c r="B51" i="1148"/>
  <c r="B50" i="1148"/>
  <c r="B49" i="1148"/>
  <c r="B48" i="1148"/>
  <c r="B47" i="1148"/>
  <c r="B46" i="1148"/>
  <c r="B45" i="1148"/>
  <c r="B44" i="1148"/>
  <c r="B43" i="1148"/>
  <c r="B42" i="1148"/>
  <c r="B41" i="1148"/>
  <c r="B40" i="1148"/>
  <c r="B39" i="1148"/>
  <c r="B38" i="1148"/>
  <c r="B37" i="1148"/>
  <c r="B36" i="1148"/>
  <c r="B35" i="1148"/>
  <c r="B34" i="1148"/>
  <c r="B33" i="1148"/>
  <c r="B32" i="1148"/>
  <c r="B31" i="1148"/>
  <c r="B30" i="1148"/>
  <c r="B29" i="1148"/>
  <c r="B28" i="1148"/>
  <c r="B27" i="1148"/>
  <c r="B26" i="1148"/>
  <c r="B25" i="1148"/>
  <c r="B24" i="1148"/>
  <c r="B23" i="1148"/>
  <c r="B22" i="1148"/>
  <c r="B21" i="1148"/>
  <c r="B20" i="1148"/>
  <c r="B19" i="1148"/>
  <c r="B18" i="1148"/>
  <c r="B17" i="1148"/>
  <c r="B16" i="1148"/>
  <c r="B15" i="1148"/>
  <c r="B14" i="1148"/>
  <c r="B13" i="1148"/>
  <c r="B12" i="1148"/>
  <c r="B11" i="1148"/>
  <c r="B10" i="1148"/>
  <c r="B9" i="1148"/>
  <c r="B8" i="1148"/>
  <c r="B7" i="1148"/>
  <c r="B6" i="1148"/>
  <c r="B5" i="1148"/>
  <c r="B4" i="1148"/>
  <c r="B3" i="1148"/>
  <c r="V2" i="1147"/>
  <c r="B18" i="1147"/>
  <c r="B17" i="1147"/>
  <c r="B16" i="1147"/>
  <c r="B15" i="1147"/>
  <c r="B14" i="1147"/>
  <c r="B13" i="1147"/>
  <c r="B12" i="1147"/>
  <c r="B11" i="1147"/>
  <c r="B10" i="1147"/>
  <c r="B9" i="1147"/>
  <c r="B8" i="1147"/>
  <c r="B7" i="1147"/>
  <c r="B6" i="1147"/>
  <c r="B5" i="1147"/>
  <c r="B4" i="1147"/>
  <c r="B3" i="1147"/>
  <c r="V2" i="1146"/>
  <c r="B10" i="1146"/>
  <c r="B9" i="1146"/>
  <c r="B8" i="1146"/>
  <c r="B7" i="1146"/>
  <c r="B6" i="1146"/>
  <c r="B5" i="1146"/>
  <c r="B4" i="1146"/>
  <c r="B3" i="1146"/>
  <c r="V2" i="1145"/>
  <c r="B24" i="1145"/>
  <c r="B23" i="1145"/>
  <c r="B22" i="1145"/>
  <c r="B21" i="1145"/>
  <c r="B20" i="1145"/>
  <c r="B19" i="1145"/>
  <c r="B18" i="1145"/>
  <c r="B17" i="1145"/>
  <c r="B16" i="1145"/>
  <c r="B15" i="1145"/>
  <c r="B14" i="1145"/>
  <c r="B13" i="1145"/>
  <c r="B12" i="1145"/>
  <c r="B11" i="1145"/>
  <c r="B10" i="1145"/>
  <c r="B9" i="1145"/>
  <c r="B8" i="1145"/>
  <c r="B7" i="1145"/>
  <c r="B6" i="1145"/>
  <c r="B5" i="1145"/>
  <c r="B4" i="1145"/>
  <c r="B3" i="1145"/>
  <c r="W2" i="1144"/>
  <c r="B17" i="1144"/>
  <c r="B16" i="1144"/>
  <c r="B15" i="1144"/>
  <c r="B14" i="1144"/>
  <c r="B13" i="1144"/>
  <c r="B12" i="1144"/>
  <c r="B11" i="1144"/>
  <c r="B10" i="1144"/>
  <c r="B9" i="1144"/>
  <c r="B8" i="1144"/>
  <c r="B7" i="1144"/>
  <c r="B6" i="1144"/>
  <c r="B5" i="1144"/>
  <c r="B4" i="1144"/>
  <c r="B3" i="1144"/>
  <c r="W2" i="1143"/>
  <c r="B14" i="1143"/>
  <c r="B13" i="1143"/>
  <c r="B12" i="1143"/>
  <c r="B11" i="1143"/>
  <c r="B10" i="1143"/>
  <c r="B9" i="1143"/>
  <c r="B8" i="1143"/>
  <c r="B7" i="1143"/>
  <c r="B6" i="1143"/>
  <c r="B5" i="1143"/>
  <c r="B4" i="1143"/>
  <c r="B3" i="1143"/>
  <c r="W2" i="1142"/>
  <c r="B51" i="1142"/>
  <c r="B50" i="1142"/>
  <c r="B49" i="1142"/>
  <c r="B48" i="1142"/>
  <c r="B47" i="1142"/>
  <c r="B46" i="1142"/>
  <c r="B45" i="1142"/>
  <c r="B44" i="1142"/>
  <c r="B43" i="1142"/>
  <c r="B42" i="1142"/>
  <c r="B41" i="1142"/>
  <c r="B40" i="1142"/>
  <c r="B39" i="1142"/>
  <c r="B38" i="1142"/>
  <c r="B37" i="1142"/>
  <c r="B36" i="1142"/>
  <c r="B35" i="1142"/>
  <c r="B34" i="1142"/>
  <c r="B33" i="1142"/>
  <c r="B32" i="1142"/>
  <c r="B31" i="1142"/>
  <c r="B30" i="1142"/>
  <c r="B29" i="1142"/>
  <c r="B28" i="1142"/>
  <c r="B27" i="1142"/>
  <c r="B26" i="1142"/>
  <c r="B25" i="1142"/>
  <c r="B24" i="1142"/>
  <c r="B23" i="1142"/>
  <c r="B22" i="1142"/>
  <c r="B21" i="1142"/>
  <c r="B20" i="1142"/>
  <c r="B19" i="1142"/>
  <c r="B18" i="1142"/>
  <c r="B17" i="1142"/>
  <c r="B16" i="1142"/>
  <c r="B15" i="1142"/>
  <c r="B14" i="1142"/>
  <c r="B13" i="1142"/>
  <c r="B12" i="1142"/>
  <c r="B11" i="1142"/>
  <c r="B10" i="1142"/>
  <c r="B9" i="1142"/>
  <c r="B8" i="1142"/>
  <c r="B7" i="1142"/>
  <c r="B6" i="1142"/>
  <c r="B5" i="1142"/>
  <c r="B4" i="1142"/>
  <c r="B3" i="1142"/>
  <c r="V2" i="1141"/>
  <c r="B18" i="1141"/>
  <c r="B17" i="1141"/>
  <c r="B16" i="1141"/>
  <c r="B15" i="1141"/>
  <c r="B14" i="1141"/>
  <c r="B13" i="1141"/>
  <c r="B12" i="1141"/>
  <c r="B11" i="1141"/>
  <c r="B10" i="1141"/>
  <c r="B9" i="1141"/>
  <c r="B8" i="1141"/>
  <c r="B7" i="1141"/>
  <c r="B6" i="1141"/>
  <c r="B5" i="1141"/>
  <c r="B4" i="1141"/>
  <c r="B3" i="1141"/>
  <c r="V2" i="1140"/>
  <c r="B7" i="1140"/>
  <c r="B6" i="1140"/>
  <c r="B5" i="1140"/>
  <c r="B4" i="1140"/>
  <c r="B3" i="1140"/>
  <c r="V2" i="1139"/>
  <c r="B18" i="1139"/>
  <c r="B17" i="1139"/>
  <c r="B16" i="1139"/>
  <c r="B15" i="1139"/>
  <c r="B14" i="1139"/>
  <c r="B13" i="1139"/>
  <c r="B12" i="1139"/>
  <c r="B11" i="1139"/>
  <c r="B10" i="1139"/>
  <c r="B9" i="1139"/>
  <c r="B8" i="1139"/>
  <c r="B7" i="1139"/>
  <c r="B6" i="1139"/>
  <c r="B5" i="1139"/>
  <c r="B4" i="1139"/>
  <c r="B3" i="1139"/>
  <c r="V2" i="1138"/>
  <c r="B11" i="1138"/>
  <c r="B10" i="1138"/>
  <c r="B9" i="1138"/>
  <c r="B8" i="1138"/>
  <c r="B7" i="1138"/>
  <c r="B6" i="1138"/>
  <c r="B5" i="1138"/>
  <c r="B4" i="1138"/>
  <c r="B3" i="1138"/>
  <c r="V2" i="1137"/>
  <c r="B7" i="1137"/>
  <c r="B6" i="1137"/>
  <c r="B5" i="1137"/>
  <c r="B4" i="1137"/>
  <c r="B3" i="1137"/>
  <c r="V2" i="1136"/>
  <c r="B18" i="1136"/>
  <c r="B17" i="1136"/>
  <c r="B16" i="1136"/>
  <c r="B15" i="1136"/>
  <c r="B14" i="1136"/>
  <c r="B13" i="1136"/>
  <c r="B12" i="1136"/>
  <c r="B11" i="1136"/>
  <c r="B10" i="1136"/>
  <c r="B9" i="1136"/>
  <c r="B8" i="1136"/>
  <c r="B7" i="1136"/>
  <c r="B6" i="1136"/>
  <c r="B5" i="1136"/>
  <c r="B4" i="1136"/>
  <c r="B3" i="1136"/>
  <c r="V2" i="1135"/>
  <c r="B11" i="1135"/>
  <c r="B10" i="1135"/>
  <c r="B9" i="1135"/>
  <c r="B8" i="1135"/>
  <c r="B7" i="1135"/>
  <c r="B6" i="1135"/>
  <c r="B5" i="1135"/>
  <c r="B4" i="1135"/>
  <c r="B3" i="1135"/>
  <c r="W2" i="1134"/>
  <c r="B12" i="1134"/>
  <c r="B11" i="1134"/>
  <c r="B10" i="1134"/>
  <c r="B9" i="1134"/>
  <c r="B8" i="1134"/>
  <c r="B7" i="1134"/>
  <c r="B6" i="1134"/>
  <c r="B5" i="1134"/>
  <c r="B4" i="1134"/>
  <c r="B3" i="1134"/>
  <c r="W2" i="1133"/>
  <c r="B13" i="1133"/>
  <c r="B12" i="1133"/>
  <c r="B11" i="1133"/>
  <c r="B10" i="1133"/>
  <c r="B9" i="1133"/>
  <c r="B8" i="1133"/>
  <c r="B7" i="1133"/>
  <c r="B6" i="1133"/>
  <c r="B5" i="1133"/>
  <c r="B4" i="1133"/>
  <c r="B3" i="1133"/>
  <c r="V2" i="1132"/>
  <c r="B17" i="1132"/>
  <c r="B16" i="1132"/>
  <c r="B15" i="1132"/>
  <c r="B14" i="1132"/>
  <c r="B13" i="1132"/>
  <c r="B12" i="1132"/>
  <c r="B11" i="1132"/>
  <c r="B10" i="1132"/>
  <c r="B9" i="1132"/>
  <c r="B8" i="1132"/>
  <c r="B7" i="1132"/>
  <c r="B6" i="1132"/>
  <c r="B5" i="1132"/>
  <c r="B4" i="1132"/>
  <c r="B3" i="1132"/>
  <c r="V2" i="1131"/>
  <c r="B7" i="1131"/>
  <c r="B6" i="1131"/>
  <c r="B5" i="1131"/>
  <c r="B4" i="1131"/>
  <c r="B3" i="1131"/>
  <c r="V2" i="1130"/>
  <c r="B21" i="1130"/>
  <c r="B20" i="1130"/>
  <c r="B19" i="1130"/>
  <c r="B18" i="1130"/>
  <c r="B17" i="1130"/>
  <c r="B16" i="1130"/>
  <c r="B15" i="1130"/>
  <c r="B14" i="1130"/>
  <c r="B13" i="1130"/>
  <c r="B12" i="1130"/>
  <c r="B11" i="1130"/>
  <c r="B10" i="1130"/>
  <c r="B9" i="1130"/>
  <c r="B8" i="1130"/>
  <c r="B7" i="1130"/>
  <c r="B6" i="1130"/>
  <c r="B5" i="1130"/>
  <c r="B4" i="1130"/>
  <c r="B3" i="1130"/>
  <c r="V2" i="1129"/>
  <c r="B8" i="1129"/>
  <c r="B7" i="1129"/>
  <c r="B6" i="1129"/>
  <c r="B5" i="1129"/>
  <c r="B4" i="1129"/>
  <c r="B3" i="1129"/>
  <c r="V2" i="1128"/>
  <c r="B10" i="1128"/>
  <c r="B9" i="1128"/>
  <c r="B8" i="1128"/>
  <c r="B7" i="1128"/>
  <c r="B6" i="1128"/>
  <c r="B5" i="1128"/>
  <c r="B4" i="1128"/>
  <c r="B3" i="1128"/>
  <c r="V2" i="1127"/>
  <c r="B14" i="1127"/>
  <c r="B13" i="1127"/>
  <c r="B12" i="1127"/>
  <c r="B11" i="1127"/>
  <c r="B10" i="1127"/>
  <c r="B9" i="1127"/>
  <c r="B8" i="1127"/>
  <c r="B7" i="1127"/>
  <c r="B6" i="1127"/>
  <c r="B5" i="1127"/>
  <c r="B4" i="1127"/>
  <c r="B3" i="1127"/>
  <c r="E21" i="933"/>
  <c r="E20" i="933"/>
  <c r="E19" i="933"/>
  <c r="E18" i="933"/>
  <c r="E17" i="933"/>
  <c r="E16" i="933"/>
  <c r="Y13" i="1136" l="1"/>
  <c r="Z13" i="1136"/>
  <c r="X13" i="1136"/>
  <c r="N27" i="1"/>
  <c r="N28" i="1"/>
  <c r="N29" i="1"/>
  <c r="N35" i="1"/>
  <c r="N31" i="1"/>
  <c r="N32" i="1"/>
  <c r="N33" i="1"/>
  <c r="N34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39" i="1" l="1"/>
  <c r="R137" i="1"/>
  <c r="U108" i="1"/>
  <c r="U106" i="1"/>
  <c r="S92" i="1"/>
  <c r="U88" i="1"/>
  <c r="U86" i="1"/>
  <c r="S72" i="1"/>
  <c r="S47" i="1"/>
  <c r="S45" i="1"/>
</calcChain>
</file>

<file path=xl/sharedStrings.xml><?xml version="1.0" encoding="utf-8"?>
<sst xmlns="http://schemas.openxmlformats.org/spreadsheetml/2006/main" count="1874" uniqueCount="380">
  <si>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</si>
  <si>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</si>
  <si>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</si>
  <si>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</si>
  <si>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</si>
  <si>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</si>
  <si>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</si>
  <si>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</si>
  <si>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</si>
  <si>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</si>
  <si>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</si>
  <si>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</si>
  <si>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</si>
  <si>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</si>
  <si>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</si>
  <si>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</si>
  <si>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</si>
  <si>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</si>
  <si>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</si>
  <si>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</si>
  <si>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</si>
  <si>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</si>
  <si>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</si>
  <si>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</si>
  <si>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</si>
  <si>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</si>
  <si>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</si>
  <si>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</si>
  <si>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</si>
  <si>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</si>
  <si>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</si>
  <si>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</si>
  <si>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</si>
  <si>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</si>
  <si>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</si>
  <si>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</si>
  <si>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</si>
  <si>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</si>
  <si>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</si>
  <si>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</si>
  <si>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</si>
  <si>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</si>
  <si>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</si>
  <si>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</si>
  <si>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</si>
  <si>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</si>
  <si>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</si>
  <si>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</si>
  <si>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</si>
  <si>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</si>
  <si>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</si>
  <si>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</si>
  <si>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</si>
  <si>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</si>
  <si>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</si>
  <si>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</si>
  <si>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</si>
  <si>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</si>
  <si>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</si>
  <si>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</si>
  <si>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</si>
  <si>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</si>
  <si>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</si>
  <si>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</si>
  <si>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</si>
  <si>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</si>
  <si>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</si>
  <si>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</si>
  <si>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</si>
  <si>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</si>
  <si>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</si>
  <si>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</si>
  <si>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</si>
  <si>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</si>
  <si>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</si>
  <si>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</si>
  <si>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</si>
  <si>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</si>
  <si>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</si>
  <si>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</si>
  <si>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</si>
  <si>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</si>
  <si>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</si>
  <si>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</si>
  <si>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</si>
  <si>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</si>
  <si>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</si>
  <si>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</si>
  <si>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CFn Json Path</t>
    <phoneticPr fontId="1"/>
  </si>
  <si>
    <t>Max_Indent</t>
    <phoneticPr fontId="1"/>
  </si>
  <si>
    <t>DeletionPolicy: Delete</t>
    <phoneticPr fontId="1"/>
  </si>
  <si>
    <t>Resources:</t>
    <phoneticPr fontId="1"/>
  </si>
  <si>
    <t xml:space="preserve">AppSyncGraphQLApiSpecification.json  </t>
  </si>
  <si>
    <t xml:space="preserve">CloudWatchInsightRuleSpecification.json                             </t>
  </si>
  <si>
    <t xml:space="preserve">CodeBuildProjectSpecification.json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</si>
  <si>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</si>
  <si>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</si>
  <si>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</si>
  <si>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</si>
  <si>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</si>
  <si>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</si>
  <si>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</si>
  <si>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</si>
  <si>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</si>
  <si>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</si>
  <si>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</si>
  <si>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</si>
  <si>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</si>
  <si>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</si>
  <si>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</si>
  <si>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</si>
  <si>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</si>
  <si>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</si>
  <si>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ResouceType</t>
    <phoneticPr fontId="1"/>
  </si>
  <si>
    <t>ResouceName</t>
    <phoneticPr fontId="1"/>
  </si>
  <si>
    <t xml:space="preserve">EC2VPCSpecification.json </t>
  </si>
  <si>
    <t>EC2InternetGatewaySpecification.json</t>
  </si>
  <si>
    <t xml:space="preserve">EC2VPCGatewayAttachmentSpecification.json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</si>
  <si>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</si>
  <si>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</si>
  <si>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</si>
  <si>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</si>
  <si>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</si>
  <si>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</si>
  <si>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</si>
  <si>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</si>
  <si>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</si>
  <si>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</si>
  <si>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</si>
  <si>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</si>
  <si>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</si>
  <si>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</si>
  <si>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</si>
  <si>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</si>
  <si>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mirai</t>
    <phoneticPr fontId="1"/>
  </si>
  <si>
    <t>Function2</t>
    <phoneticPr fontId="1"/>
  </si>
  <si>
    <t>Function3</t>
    <phoneticPr fontId="1"/>
  </si>
  <si>
    <t>String  ex. ap-northeast-1c</t>
  </si>
  <si>
    <t xml:space="preserve">DeletionPolicy: </t>
    <phoneticPr fontId="1"/>
  </si>
  <si>
    <t>CFn ResourceSpecificationVersion</t>
    <phoneticPr fontId="1"/>
  </si>
  <si>
    <t>Tag以降で文字列に!Refに置き換えられるパターンがある。</t>
    <rPh sb="3" eb="5">
      <t>イコウ</t>
    </rPh>
    <rPh sb="6" eb="9">
      <t>モジレツ</t>
    </rPh>
    <rPh sb="15" eb="16">
      <t>オ</t>
    </rPh>
    <rPh sb="17" eb="18">
      <t>カ</t>
    </rPh>
    <phoneticPr fontId="1"/>
  </si>
  <si>
    <t>CFn</t>
  </si>
  <si>
    <t>Name:</t>
  </si>
  <si>
    <t>String</t>
  </si>
  <si>
    <t>Resource Name</t>
  </si>
  <si>
    <t>Type: AWS::EC2::VPC</t>
  </si>
  <si>
    <t/>
  </si>
  <si>
    <t>Link</t>
  </si>
  <si>
    <t xml:space="preserve">CidrBlock: </t>
  </si>
  <si>
    <t xml:space="preserve">EnableDnsHostnames: </t>
  </si>
  <si>
    <t>Boolean</t>
  </si>
  <si>
    <t xml:space="preserve">EnableDnsSupport: </t>
  </si>
  <si>
    <t xml:space="preserve">InstanceTenancy: </t>
  </si>
  <si>
    <t xml:space="preserve">- </t>
  </si>
  <si>
    <t xml:space="preserve">Key: </t>
  </si>
  <si>
    <t>No</t>
  </si>
  <si>
    <t>Resources</t>
  </si>
  <si>
    <t>Type</t>
  </si>
  <si>
    <t>Remarks</t>
  </si>
  <si>
    <t xml:space="preserve">InternetGatewayId: </t>
  </si>
  <si>
    <t xml:space="preserve">VpcId: </t>
  </si>
  <si>
    <t xml:space="preserve">VpnGatewayId: </t>
  </si>
  <si>
    <t>Integer</t>
  </si>
  <si>
    <t>Type: AWS::EC2::Subnet</t>
  </si>
  <si>
    <t xml:space="preserve">AssignIpv6AddressOnCreation: </t>
  </si>
  <si>
    <t xml:space="preserve">AvailabilityZone: </t>
  </si>
  <si>
    <t xml:space="preserve">Ipv6CidrBlock: </t>
  </si>
  <si>
    <t xml:space="preserve">MapPublicIpOnLaunch: </t>
  </si>
  <si>
    <t>Type: AWS::EC2::Route</t>
  </si>
  <si>
    <t xml:space="preserve">DestinationCidrBlock: </t>
  </si>
  <si>
    <t xml:space="preserve">DestinationIpv6CidrBlock: </t>
  </si>
  <si>
    <t xml:space="preserve">EgressOnlyInternetGatewayId: </t>
  </si>
  <si>
    <t xml:space="preserve">GatewayId: </t>
  </si>
  <si>
    <t xml:space="preserve">InstanceId: </t>
  </si>
  <si>
    <t xml:space="preserve">NatGatewayId: </t>
  </si>
  <si>
    <t xml:space="preserve">NetworkInterfaceId: </t>
  </si>
  <si>
    <t xml:space="preserve">RouteTableId: </t>
  </si>
  <si>
    <t xml:space="preserve">TransitGatewayId: </t>
  </si>
  <si>
    <t xml:space="preserve">VpcPeeringConnectionId: </t>
  </si>
  <si>
    <t>Type: AWS::EC2::SubnetRouteTableAssociation</t>
  </si>
  <si>
    <t xml:space="preserve">SubnetId: </t>
  </si>
  <si>
    <t>Type: AWS::EC2::SecurityGroup</t>
  </si>
  <si>
    <t xml:space="preserve">GroupDescription: </t>
  </si>
  <si>
    <t xml:space="preserve">GroupName: </t>
  </si>
  <si>
    <t xml:space="preserve">SecurityGroupEgress: </t>
  </si>
  <si>
    <t xml:space="preserve">CidrIp: </t>
  </si>
  <si>
    <t xml:space="preserve">CidrIpv6: </t>
  </si>
  <si>
    <t xml:space="preserve">Description: </t>
  </si>
  <si>
    <t xml:space="preserve">DestinationPrefixListId: </t>
  </si>
  <si>
    <t xml:space="preserve">DestinationSecurityGroupId: </t>
  </si>
  <si>
    <t xml:space="preserve">FromPort: </t>
  </si>
  <si>
    <t xml:space="preserve">IpProtocol: </t>
  </si>
  <si>
    <t xml:space="preserve">ToPort: </t>
  </si>
  <si>
    <t xml:space="preserve">SecurityGroupIngress: </t>
  </si>
  <si>
    <t xml:space="preserve">SourcePrefixListId: </t>
  </si>
  <si>
    <t xml:space="preserve">SourceSecurityGroupId: </t>
  </si>
  <si>
    <t xml:space="preserve">SourceSecurityGroupName: </t>
  </si>
  <si>
    <t xml:space="preserve">SourceSecurityGroupOwnerId: </t>
  </si>
  <si>
    <t>Type: AWS::EC2::NetworkAcl</t>
  </si>
  <si>
    <t>Type: AWS::EC2::NetworkAclEntry</t>
  </si>
  <si>
    <t xml:space="preserve">Egress: </t>
  </si>
  <si>
    <t xml:space="preserve">Icmp: </t>
  </si>
  <si>
    <t xml:space="preserve">Code: </t>
  </si>
  <si>
    <t xml:space="preserve">Type: </t>
  </si>
  <si>
    <t xml:space="preserve">NetworkAclId: </t>
  </si>
  <si>
    <t xml:space="preserve">PortRange: </t>
  </si>
  <si>
    <t xml:space="preserve">From: </t>
  </si>
  <si>
    <t xml:space="preserve">To: </t>
  </si>
  <si>
    <t xml:space="preserve">Protocol: </t>
  </si>
  <si>
    <t xml:space="preserve">RuleAction: </t>
  </si>
  <si>
    <t xml:space="preserve">RuleNumber: </t>
  </si>
  <si>
    <t>Type: AWS::EC2::SubnetNetworkAclAssociation</t>
  </si>
  <si>
    <t>true</t>
    <phoneticPr fontId="1"/>
  </si>
  <si>
    <t>default</t>
    <phoneticPr fontId="1"/>
  </si>
  <si>
    <t xml:space="preserve">AdditionalInfo: </t>
  </si>
  <si>
    <t xml:space="preserve">Affinity: </t>
  </si>
  <si>
    <t xml:space="preserve">DeviceName: </t>
  </si>
  <si>
    <t xml:space="preserve">DeleteOnTermination: </t>
  </si>
  <si>
    <t xml:space="preserve">Encrypted: </t>
  </si>
  <si>
    <t xml:space="preserve">Iops: </t>
  </si>
  <si>
    <t xml:space="preserve">KmsKeyId: </t>
  </si>
  <si>
    <t xml:space="preserve">SnapshotId: </t>
  </si>
  <si>
    <t xml:space="preserve">VolumeSize: </t>
  </si>
  <si>
    <t xml:space="preserve">VolumeType: </t>
  </si>
  <si>
    <t xml:space="preserve">NoDevice: </t>
  </si>
  <si>
    <t xml:space="preserve">VirtualName: </t>
  </si>
  <si>
    <t xml:space="preserve">CoreCount: </t>
  </si>
  <si>
    <t xml:space="preserve">ThreadsPerCore: </t>
  </si>
  <si>
    <t xml:space="preserve">CPUCredits: </t>
  </si>
  <si>
    <t xml:space="preserve">DisableApiTermination: </t>
  </si>
  <si>
    <t xml:space="preserve">EbsOptimized: </t>
  </si>
  <si>
    <t xml:space="preserve">Count: </t>
  </si>
  <si>
    <t xml:space="preserve">Configured: </t>
  </si>
  <si>
    <t xml:space="preserve">HostId: </t>
  </si>
  <si>
    <t xml:space="preserve">HostResourceGroupArn: </t>
  </si>
  <si>
    <t xml:space="preserve">IamInstanceProfile: </t>
  </si>
  <si>
    <t xml:space="preserve">ImageId: </t>
  </si>
  <si>
    <t xml:space="preserve">InstanceInitiatedShutdownBehavior: </t>
  </si>
  <si>
    <t xml:space="preserve">InstanceType: </t>
  </si>
  <si>
    <t xml:space="preserve">Ipv6AddressCount: </t>
  </si>
  <si>
    <t xml:space="preserve">Ipv6Address: </t>
  </si>
  <si>
    <t xml:space="preserve">KernelId: </t>
  </si>
  <si>
    <t xml:space="preserve">KeyName: </t>
  </si>
  <si>
    <t xml:space="preserve">LaunchTemplateId: </t>
  </si>
  <si>
    <t xml:space="preserve">LaunchTemplateName: </t>
  </si>
  <si>
    <t xml:space="preserve">Version: </t>
  </si>
  <si>
    <t xml:space="preserve">LicenseConfigurationArn: </t>
  </si>
  <si>
    <t xml:space="preserve">Monitoring: </t>
  </si>
  <si>
    <t xml:space="preserve">AssociatePublicIpAddress: </t>
  </si>
  <si>
    <t xml:space="preserve">DeviceIndex: </t>
  </si>
  <si>
    <t xml:space="preserve">PrivateIpAddress: </t>
  </si>
  <si>
    <t xml:space="preserve">Primary: </t>
  </si>
  <si>
    <t xml:space="preserve">SecondaryPrivateIpAddressCount: </t>
  </si>
  <si>
    <t xml:space="preserve">PlacementGroupName: </t>
  </si>
  <si>
    <t xml:space="preserve">RamdiskId: </t>
  </si>
  <si>
    <t xml:space="preserve">SourceDestCheck: </t>
  </si>
  <si>
    <t xml:space="preserve">AssociationParameters: </t>
  </si>
  <si>
    <t xml:space="preserve">DocumentName: </t>
  </si>
  <si>
    <t xml:space="preserve">Tenancy: </t>
  </si>
  <si>
    <t xml:space="preserve">UserData: </t>
  </si>
  <si>
    <t xml:space="preserve">Device: </t>
  </si>
  <si>
    <t xml:space="preserve">VolumeId: </t>
  </si>
  <si>
    <t>EC2PrefixListSpecification.json</t>
  </si>
  <si>
    <t>EC2InstanceSpecification.json</t>
  </si>
  <si>
    <t xml:space="preserve">PrefixListName: </t>
  </si>
  <si>
    <t xml:space="preserve">AddressFamily: </t>
  </si>
  <si>
    <t xml:space="preserve">MaxEntries: </t>
  </si>
  <si>
    <t xml:space="preserve">Entries: </t>
  </si>
  <si>
    <t xml:space="preserve">Cidr: </t>
  </si>
  <si>
    <t>ap-northeast-1a</t>
  </si>
  <si>
    <t>IPv4</t>
  </si>
  <si>
    <t>allow</t>
  </si>
  <si>
    <t>Type: AWS::EC2::SecurityGroupEgress</t>
  </si>
  <si>
    <t xml:space="preserve">GroupId: </t>
  </si>
  <si>
    <t>Type: AWS::EC2::SecurityGroupIngress</t>
  </si>
  <si>
    <t>127.0.0.1/32</t>
  </si>
  <si>
    <t>TCP</t>
    <phoneticPr fontId="1"/>
  </si>
  <si>
    <t>EC2SecurityGroupIngressSpecification.json</t>
  </si>
  <si>
    <t>EC2SecurityGroupEgressSpecification.json</t>
  </si>
  <si>
    <t>EC2DHCPOptionsSpecification.json</t>
  </si>
  <si>
    <t>EC2VPCDHCPOptionsAssociationSpecification.json</t>
  </si>
  <si>
    <t>EC2EIPSpecification.json</t>
  </si>
  <si>
    <t>EC2NatGatewaySpecification.json</t>
  </si>
  <si>
    <t>EC2VPCEndpointSpecification.json</t>
  </si>
  <si>
    <t>IAMRoleSpecification.json</t>
  </si>
  <si>
    <t>IAMInstanceProfileSpecification.json</t>
  </si>
  <si>
    <t>IAMManagedPolicySpecification.json</t>
  </si>
  <si>
    <t>C:\00_Data\00_MiraiProject\mirai\ManageCFn\bin\CloudFormationResourceSpecification</t>
  </si>
  <si>
    <t>22.0.0</t>
    <phoneticPr fontId="1"/>
  </si>
  <si>
    <t>Type: AWS::EC2::InternetGateway</t>
  </si>
  <si>
    <t>Type: AWS::EC2::VPCGatewayAttachment</t>
  </si>
  <si>
    <t>Type: AWS::EC2::DHCPOptions</t>
  </si>
  <si>
    <t xml:space="preserve">DomainName: </t>
  </si>
  <si>
    <t xml:space="preserve">DomainNameServers: </t>
  </si>
  <si>
    <t xml:space="preserve">NetbiosNameServers: </t>
  </si>
  <si>
    <t xml:space="preserve">NetbiosNodeType: </t>
  </si>
  <si>
    <t xml:space="preserve">NtpServers: </t>
  </si>
  <si>
    <t>Type: AWS::EC2::VPCDHCPOptionsAssociation</t>
  </si>
  <si>
    <t xml:space="preserve">DhcpOptionsId: </t>
  </si>
  <si>
    <t xml:space="preserve">OutpostArn: </t>
  </si>
  <si>
    <t>Type: AWS::EC2::EIP</t>
  </si>
  <si>
    <t xml:space="preserve">Domain: </t>
  </si>
  <si>
    <t xml:space="preserve">PublicIpv4Pool: </t>
  </si>
  <si>
    <t>Type: AWS::EC2::NatGateway</t>
  </si>
  <si>
    <t xml:space="preserve">AllocationId: </t>
  </si>
  <si>
    <t>Type: AWS::EC2::RouteTable</t>
  </si>
  <si>
    <t xml:space="preserve">CarrierGatewayId: </t>
  </si>
  <si>
    <t xml:space="preserve">LocalGatewayId: </t>
  </si>
  <si>
    <t xml:space="preserve">VpcEndpointId: </t>
  </si>
  <si>
    <t>Type: AWS::EC2::PrefixList</t>
  </si>
  <si>
    <t>Type: AWS::EC2::VPCEndpoint</t>
  </si>
  <si>
    <t xml:space="preserve">PolicyDocument: </t>
  </si>
  <si>
    <t>Json</t>
  </si>
  <si>
    <t xml:space="preserve">PrivateDnsEnabled: </t>
  </si>
  <si>
    <t xml:space="preserve">RouteTableIds: </t>
  </si>
  <si>
    <t xml:space="preserve">ServiceName: </t>
  </si>
  <si>
    <t xml:space="preserve">SubnetIds: </t>
  </si>
  <si>
    <t xml:space="preserve">VpcEndpointType: </t>
  </si>
  <si>
    <t>Type: AWS::IAM::Role</t>
  </si>
  <si>
    <t xml:space="preserve">AssumeRolePolicyDocument: </t>
  </si>
  <si>
    <t xml:space="preserve">ManagedPolicyArns: </t>
  </si>
  <si>
    <t xml:space="preserve">MaxSessionDuration: </t>
  </si>
  <si>
    <t xml:space="preserve">Path: </t>
  </si>
  <si>
    <t xml:space="preserve">PermissionsBoundary: </t>
  </si>
  <si>
    <t xml:space="preserve">Policies: </t>
  </si>
  <si>
    <t xml:space="preserve">PolicyName: </t>
  </si>
  <si>
    <t xml:space="preserve">RoleName: </t>
  </si>
  <si>
    <t>Type: AWS::IAM::InstanceProfile</t>
  </si>
  <si>
    <t xml:space="preserve">InstanceProfileName: </t>
  </si>
  <si>
    <t xml:space="preserve">Roles: </t>
  </si>
  <si>
    <t>Type: AWS::IAM::ManagedPolicy</t>
  </si>
  <si>
    <t xml:space="preserve">Groups: </t>
  </si>
  <si>
    <t xml:space="preserve">ManagedPolicyName: </t>
  </si>
  <si>
    <t xml:space="preserve">Users: </t>
  </si>
  <si>
    <t xml:space="preserve">EnclaveOptions: </t>
  </si>
  <si>
    <t xml:space="preserve">Enabled: </t>
  </si>
  <si>
    <t>Availability Zone 1</t>
    <phoneticPr fontId="1"/>
  </si>
  <si>
    <t>Availability Zone 2</t>
  </si>
  <si>
    <t>VPC CIDR</t>
    <phoneticPr fontId="1"/>
  </si>
  <si>
    <t>Private Subnet01 CIDR</t>
    <phoneticPr fontId="1"/>
  </si>
  <si>
    <t>Public Subnet01 CIDR</t>
    <phoneticPr fontId="1"/>
  </si>
  <si>
    <t>String  ex. ap-northeast-1</t>
    <phoneticPr fontId="1"/>
  </si>
  <si>
    <t>ap-northeast-1</t>
  </si>
  <si>
    <t>String  ex. ap-northeast-1a</t>
    <phoneticPr fontId="1"/>
  </si>
  <si>
    <t>ap-northeast-1c</t>
    <phoneticPr fontId="1"/>
  </si>
  <si>
    <t>ap-northeast-1d</t>
    <phoneticPr fontId="1"/>
  </si>
  <si>
    <t>192.168.128.0/24</t>
    <phoneticPr fontId="1"/>
  </si>
  <si>
    <t>192.168.128.0/27</t>
    <phoneticPr fontId="1"/>
  </si>
  <si>
    <t>192.168.128.32/27</t>
    <phoneticPr fontId="1"/>
  </si>
  <si>
    <t>192.168.128.64/27</t>
    <phoneticPr fontId="1"/>
  </si>
  <si>
    <t>192.168.128.128/27</t>
    <phoneticPr fontId="1"/>
  </si>
  <si>
    <t>192.168.128.160/27</t>
    <phoneticPr fontId="1"/>
  </si>
  <si>
    <t>192.168.128.192/27</t>
    <phoneticPr fontId="1"/>
  </si>
  <si>
    <t>true</t>
  </si>
  <si>
    <t>AmazonProvidedDNS</t>
  </si>
  <si>
    <t>vpc</t>
    <phoneticPr fontId="1"/>
  </si>
  <si>
    <t>0.0.0.0/0</t>
  </si>
  <si>
    <t>false</t>
  </si>
  <si>
    <t>10.0.0.1/32</t>
    <phoneticPr fontId="1"/>
  </si>
  <si>
    <t>Test Proxy</t>
    <phoneticPr fontId="1"/>
  </si>
  <si>
    <t>Test Proxy01</t>
    <phoneticPr fontId="1"/>
  </si>
  <si>
    <t>10.0.0.2/32</t>
    <phoneticPr fontId="1"/>
  </si>
  <si>
    <t>10.0.0.3/32</t>
    <phoneticPr fontId="1"/>
  </si>
  <si>
    <t>10.0.0.4/32</t>
    <phoneticPr fontId="1"/>
  </si>
  <si>
    <t>Test Proxy02</t>
    <phoneticPr fontId="1"/>
  </si>
  <si>
    <t>Test Proxy04</t>
    <phoneticPr fontId="1"/>
  </si>
  <si>
    <t>Test Proxy03</t>
    <phoneticPr fontId="1"/>
  </si>
  <si>
    <t xml:space="preserve">
        Version: 2012-10-17
        Statement:
          - Effect: Allow
            Principal:
              Service:
                - ec2.amazonaws.com
            Action:
              - sts:AssumeRole</t>
    <phoneticPr fontId="1"/>
  </si>
  <si>
    <t>arn:aws:iam::aws:policy/AmazonSSMManagedInstanceCore</t>
    <phoneticPr fontId="1"/>
  </si>
  <si>
    <t>/</t>
    <phoneticPr fontId="1"/>
  </si>
  <si>
    <t>Interface</t>
    <phoneticPr fontId="1"/>
  </si>
  <si>
    <t xml:space="preserve">
        Version: 2012-10-17
        Statement:
          - Effect: Allow
            Action:
              - iam:CreateAccessKey
              - iam:DeleteAccessKey
              - iam:GetUser
            Resource:
              - arn:aws:iam::*:user/${aws:username}
          - Effect: Allow
            Action:
              - ssm:StartSession
            Resource:
              - "arn:aws:ssm:*::document/AWS-StartPortForwardingSession"
              - !Sub "arn:aws:ec2:*:${AWS::AccountId}:*"
          - Effect: Allow
            Action:
              - ssm:TerminateSession
            Resource:
              - "arn:aws:ssm:*:*:session/${aws:username}-*"</t>
    <phoneticPr fontId="1"/>
  </si>
  <si>
    <t>SSM Private Only-Use EndPoint</t>
    <phoneticPr fontId="1"/>
  </si>
  <si>
    <t>SSM-Public Private Nat</t>
    <phoneticPr fontId="1"/>
  </si>
  <si>
    <t>Availability Zone 3</t>
    <phoneticPr fontId="1"/>
  </si>
  <si>
    <t>String  ex. ap-northeast-1d</t>
    <phoneticPr fontId="1"/>
  </si>
  <si>
    <t>Private Subnet02 CIDR</t>
    <phoneticPr fontId="1"/>
  </si>
  <si>
    <t>Private Subnet03 CIDR</t>
    <phoneticPr fontId="1"/>
  </si>
  <si>
    <t>Public Subnet02 CIDR</t>
    <phoneticPr fontId="1"/>
  </si>
  <si>
    <t>Public Subnet03 CIDR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</si>
</sst>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  <font>
      <u/>
      <sz val="11"/>
      <color theme="10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3" fillId="7" borderId="0" xfId="0" applyFont="1" applyFill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8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4" fillId="0" borderId="0" xfId="0" applyFont="1"/>
    <xf numFmtId="0" fontId="0" fillId="0" borderId="3" xfId="0" applyBorder="1"/>
    <xf numFmtId="0" fontId="0" fillId="0" borderId="4" xfId="0" applyBorder="1"/>
    <xf numFmtId="0" fontId="0" fillId="0" borderId="1" xfId="0" quotePrefix="1" applyBorder="1"/>
    <xf numFmtId="0" fontId="0" fillId="9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1" xfId="0" quotePrefix="1" applyFill="1" applyBorder="1"/>
    <xf numFmtId="0" fontId="0" fillId="3" borderId="1" xfId="0" applyFill="1" applyBorder="1"/>
    <xf numFmtId="0" fontId="0" fillId="2" borderId="3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1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" xfId="0" applyFill="1" applyBorder="1"/>
    <xf numFmtId="0" fontId="0" fillId="5" borderId="3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1" xfId="0" applyFill="1" applyBorder="1"/>
    <xf numFmtId="0" fontId="0" fillId="0" borderId="1" xfId="0" applyBorder="1" applyAlignment="1">
      <alignment vertical="top"/>
    </xf>
    <xf numFmtId="0" fontId="0" fillId="0" borderId="3" xfId="0" applyBorder="1" applyAlignment="1">
      <alignment vertical="top"/>
    </xf>
    <xf numFmtId="0" fontId="5" fillId="0" borderId="1" xfId="1" applyBorder="1" applyAlignment="1">
      <alignment vertical="top"/>
    </xf>
    <xf numFmtId="0" fontId="0" fillId="3" borderId="3" xfId="0" applyFill="1" applyBorder="1" applyAlignment="1">
      <alignment vertical="top"/>
    </xf>
    <xf numFmtId="0" fontId="0" fillId="3" borderId="1" xfId="0" quotePrefix="1" applyFill="1" applyBorder="1" applyAlignment="1">
      <alignment vertical="top"/>
    </xf>
    <xf numFmtId="0" fontId="5" fillId="3" borderId="1" xfId="1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0" fillId="4" borderId="1" xfId="0" quotePrefix="1" applyFill="1" applyBorder="1" applyAlignment="1">
      <alignment vertical="top"/>
    </xf>
    <xf numFmtId="0" fontId="5" fillId="4" borderId="1" xfId="1" applyFill="1" applyBorder="1" applyAlignment="1">
      <alignment vertical="top"/>
    </xf>
    <xf numFmtId="0" fontId="0" fillId="0" borderId="3" xfId="0" quotePrefix="1" applyBorder="1" applyAlignment="1">
      <alignment vertical="top"/>
    </xf>
    <xf numFmtId="0" fontId="0" fillId="6" borderId="3" xfId="0" applyFill="1" applyBorder="1" applyAlignment="1">
      <alignment vertical="top"/>
    </xf>
    <xf numFmtId="0" fontId="0" fillId="6" borderId="1" xfId="0" quotePrefix="1" applyFill="1" applyBorder="1" applyAlignment="1">
      <alignment vertical="top"/>
    </xf>
    <xf numFmtId="0" fontId="5" fillId="6" borderId="1" xfId="1" applyFill="1" applyBorder="1" applyAlignment="1">
      <alignment vertical="top"/>
    </xf>
    <xf numFmtId="0" fontId="0" fillId="9" borderId="3" xfId="0" applyFill="1" applyBorder="1" applyAlignment="1">
      <alignment vertical="top"/>
    </xf>
    <xf numFmtId="0" fontId="0" fillId="9" borderId="1" xfId="0" quotePrefix="1" applyFill="1" applyBorder="1" applyAlignment="1">
      <alignment vertical="top"/>
    </xf>
    <xf numFmtId="0" fontId="5" fillId="9" borderId="1" xfId="1" applyFill="1" applyBorder="1" applyAlignment="1">
      <alignment vertical="top"/>
    </xf>
    <xf numFmtId="0" fontId="0" fillId="10" borderId="3" xfId="0" quotePrefix="1" applyFill="1" applyBorder="1" applyAlignment="1">
      <alignment vertical="top"/>
    </xf>
    <xf numFmtId="0" fontId="0" fillId="0" borderId="1" xfId="0" applyBorder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152400</xdr:rowOff>
        </xdr:from>
        <xdr:to>
          <xdr:col>3</xdr:col>
          <xdr:colOff>1047750</xdr:colOff>
          <xdr:row>6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vpc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vpc.html" TargetMode="External"/><Relationship Id="rId1" Type="http://schemas.openxmlformats.org/officeDocument/2006/relationships/hyperlink" Target="http://docs.aws.amazon.com/AWSCloudFormation/latest/UserGuide/aws-resource-ec2-vpc.html" TargetMode="External"/><Relationship Id="rId6" Type="http://schemas.openxmlformats.org/officeDocument/2006/relationships/hyperlink" Target="http://docs.aws.amazon.com/AWSCloudFormation/latest/UserGuide/aws-resource-ec2-vpc.html" TargetMode="External"/><Relationship Id="rId5" Type="http://schemas.openxmlformats.org/officeDocument/2006/relationships/hyperlink" Target="http://docs.aws.amazon.com/AWSCloudFormation/latest/UserGuide/aws-resource-ec2-vpc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vpc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internetgateway.html" TargetMode="External"/><Relationship Id="rId1" Type="http://schemas.openxmlformats.org/officeDocument/2006/relationships/hyperlink" Target="http://docs.aws.amazon.com/AWSCloudFormation/latest/UserGuide/aws-resource-ec2-internetgateway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gateway-attachment.html" TargetMode="External"/><Relationship Id="rId2" Type="http://schemas.openxmlformats.org/officeDocument/2006/relationships/hyperlink" Target="http://docs.aws.amazon.com/AWSCloudFormation/latest/UserGuide/aws-resource-ec2-vpc-gateway-attachment.html" TargetMode="External"/><Relationship Id="rId1" Type="http://schemas.openxmlformats.org/officeDocument/2006/relationships/hyperlink" Target="http://docs.aws.amazon.com/AWSCloudFormation/latest/UserGuide/aws-resource-ec2-vpc-gateway-attachment.html" TargetMode="External"/><Relationship Id="rId4" Type="http://schemas.openxmlformats.org/officeDocument/2006/relationships/hyperlink" Target="http://docs.aws.amazon.com/AWSCloudFormation/latest/UserGuide/aws-resource-ec2-vpc-gateway-attachment.html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dhcp-options.html" TargetMode="External"/><Relationship Id="rId7" Type="http://schemas.openxmlformats.org/officeDocument/2006/relationships/hyperlink" Target="http://docs.aws.amazon.com/AWSCloudFormation/latest/UserGuide/aws-resource-ec2-dhcp-options.html" TargetMode="External"/><Relationship Id="rId2" Type="http://schemas.openxmlformats.org/officeDocument/2006/relationships/hyperlink" Target="http://docs.aws.amazon.com/AWSCloudFormation/latest/UserGuide/aws-resource-ec2-dhcp-options.html" TargetMode="External"/><Relationship Id="rId1" Type="http://schemas.openxmlformats.org/officeDocument/2006/relationships/hyperlink" Target="http://docs.aws.amazon.com/AWSCloudFormation/latest/UserGuide/aws-resource-ec2-dhcp-options.html" TargetMode="External"/><Relationship Id="rId6" Type="http://schemas.openxmlformats.org/officeDocument/2006/relationships/hyperlink" Target="http://docs.aws.amazon.com/AWSCloudFormation/latest/UserGuide/aws-resource-ec2-dhcp-options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dhcp-options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dhcp-options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dhcp-options-assoc.html" TargetMode="External"/><Relationship Id="rId2" Type="http://schemas.openxmlformats.org/officeDocument/2006/relationships/hyperlink" Target="http://docs.aws.amazon.com/AWSCloudFormation/latest/UserGuide/aws-resource-ec2-vpc-dhcp-options-assoc.html" TargetMode="External"/><Relationship Id="rId1" Type="http://schemas.openxmlformats.org/officeDocument/2006/relationships/hyperlink" Target="http://docs.aws.amazon.com/AWSCloudFormation/latest/UserGuide/aws-resource-ec2-vpc-dhcp-options-assoc.html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subnet.html" TargetMode="External"/><Relationship Id="rId13" Type="http://schemas.openxmlformats.org/officeDocument/2006/relationships/hyperlink" Target="http://docs.aws.amazon.com/AWSCloudFormation/latest/UserGuide/aws-resource-ec2-subnet.html" TargetMode="External"/><Relationship Id="rId3" Type="http://schemas.openxmlformats.org/officeDocument/2006/relationships/hyperlink" Target="http://docs.aws.amazon.com/AWSCloudFormation/latest/UserGuide/aws-resource-ec2-subnet.html" TargetMode="External"/><Relationship Id="rId7" Type="http://schemas.openxmlformats.org/officeDocument/2006/relationships/hyperlink" Target="http://docs.aws.amazon.com/AWSCloudFormation/latest/UserGuide/aws-resource-ec2-subnet.html" TargetMode="External"/><Relationship Id="rId12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subnet.html" TargetMode="External"/><Relationship Id="rId1" Type="http://schemas.openxmlformats.org/officeDocument/2006/relationships/hyperlink" Target="http://docs.aws.amazon.com/AWSCloudFormation/latest/UserGuide/aws-resource-ec2-subnet.html" TargetMode="External"/><Relationship Id="rId6" Type="http://schemas.openxmlformats.org/officeDocument/2006/relationships/hyperlink" Target="http://docs.aws.amazon.com/AWSCloudFormation/latest/UserGuide/aws-resource-ec2-subnet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subnet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subnet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properties-ec2-eip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properties-ec2-eip.html" TargetMode="External"/><Relationship Id="rId1" Type="http://schemas.openxmlformats.org/officeDocument/2006/relationships/hyperlink" Target="http://docs.aws.amazon.com/AWSCloudFormation/latest/UserGuide/aws-properties-ec2-eip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ec2-eip.html" TargetMode="External"/><Relationship Id="rId4" Type="http://schemas.openxmlformats.org/officeDocument/2006/relationships/hyperlink" Target="http://docs.aws.amazon.com/AWSCloudFormation/latest/UserGuide/aws-properties-ec2-eip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natgateway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natgateway.html" TargetMode="External"/><Relationship Id="rId1" Type="http://schemas.openxmlformats.org/officeDocument/2006/relationships/hyperlink" Target="http://docs.aws.amazon.com/AWSCloudFormation/latest/UserGuide/aws-resource-ec2-natgateway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natgateway.html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route-table.html" TargetMode="External"/><Relationship Id="rId2" Type="http://schemas.openxmlformats.org/officeDocument/2006/relationships/hyperlink" Target="http://docs.aws.amazon.com/AWSCloudFormation/latest/UserGuide/aws-resource-ec2-route-table.html" TargetMode="External"/><Relationship Id="rId1" Type="http://schemas.openxmlformats.org/officeDocument/2006/relationships/hyperlink" Target="http://docs.aws.amazon.com/AWSCloudFormation/latest/UserGuide/aws-resource-ec2-route-table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route.html" TargetMode="External"/><Relationship Id="rId13" Type="http://schemas.openxmlformats.org/officeDocument/2006/relationships/hyperlink" Target="http://docs.aws.amazon.com/AWSCloudFormation/latest/UserGuide/aws-resource-ec2-route.html" TargetMode="External"/><Relationship Id="rId3" Type="http://schemas.openxmlformats.org/officeDocument/2006/relationships/hyperlink" Target="http://docs.aws.amazon.com/AWSCloudFormation/latest/UserGuide/aws-resource-ec2-route.html" TargetMode="External"/><Relationship Id="rId7" Type="http://schemas.openxmlformats.org/officeDocument/2006/relationships/hyperlink" Target="http://docs.aws.amazon.com/AWSCloudFormation/latest/UserGuide/aws-resource-ec2-route.html" TargetMode="External"/><Relationship Id="rId12" Type="http://schemas.openxmlformats.org/officeDocument/2006/relationships/hyperlink" Target="http://docs.aws.amazon.com/AWSCloudFormation/latest/UserGuide/aws-resource-ec2-route.html" TargetMode="External"/><Relationship Id="rId2" Type="http://schemas.openxmlformats.org/officeDocument/2006/relationships/hyperlink" Target="http://docs.aws.amazon.com/AWSCloudFormation/latest/UserGuide/aws-resource-ec2-route.html" TargetMode="External"/><Relationship Id="rId1" Type="http://schemas.openxmlformats.org/officeDocument/2006/relationships/hyperlink" Target="http://docs.aws.amazon.com/AWSCloudFormation/latest/UserGuide/aws-resource-ec2-route.html" TargetMode="External"/><Relationship Id="rId6" Type="http://schemas.openxmlformats.org/officeDocument/2006/relationships/hyperlink" Target="http://docs.aws.amazon.com/AWSCloudFormation/latest/UserGuide/aws-resource-ec2-route.html" TargetMode="External"/><Relationship Id="rId11" Type="http://schemas.openxmlformats.org/officeDocument/2006/relationships/hyperlink" Target="http://docs.aws.amazon.com/AWSCloudFormation/latest/UserGuide/aws-resource-ec2-route.html" TargetMode="External"/><Relationship Id="rId5" Type="http://schemas.openxmlformats.org/officeDocument/2006/relationships/hyperlink" Target="http://docs.aws.amazon.com/AWSCloudFormation/latest/UserGuide/aws-resource-ec2-route.html" TargetMode="External"/><Relationship Id="rId10" Type="http://schemas.openxmlformats.org/officeDocument/2006/relationships/hyperlink" Target="http://docs.aws.amazon.com/AWSCloudFormation/latest/UserGuide/aws-resource-ec2-route.html" TargetMode="External"/><Relationship Id="rId4" Type="http://schemas.openxmlformats.org/officeDocument/2006/relationships/hyperlink" Target="http://docs.aws.amazon.com/AWSCloudFormation/latest/UserGuide/aws-resource-ec2-route.html" TargetMode="External"/><Relationship Id="rId9" Type="http://schemas.openxmlformats.org/officeDocument/2006/relationships/hyperlink" Target="http://docs.aws.amazon.com/AWSCloudFormation/latest/UserGuide/aws-resource-ec2-route.html" TargetMode="External"/><Relationship Id="rId14" Type="http://schemas.openxmlformats.org/officeDocument/2006/relationships/hyperlink" Target="http://docs.aws.amazon.com/AWSCloudFormation/latest/UserGuide/aws-resource-ec2-route.html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route-table-assoc.html" TargetMode="External"/><Relationship Id="rId2" Type="http://schemas.openxmlformats.org/officeDocument/2006/relationships/hyperlink" Target="http://docs.aws.amazon.com/AWSCloudFormation/latest/UserGuide/aws-resource-ec2-subnet-route-table-assoc.html" TargetMode="External"/><Relationship Id="rId1" Type="http://schemas.openxmlformats.org/officeDocument/2006/relationships/hyperlink" Target="http://docs.aws.amazon.com/AWSCloudFormation/latest/UserGuide/aws-resource-ec2-subnet-route-table-assoc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network-acl.html" TargetMode="External"/><Relationship Id="rId2" Type="http://schemas.openxmlformats.org/officeDocument/2006/relationships/hyperlink" Target="http://docs.aws.amazon.com/AWSCloudFormation/latest/UserGuide/aws-resource-ec2-network-acl.html" TargetMode="External"/><Relationship Id="rId1" Type="http://schemas.openxmlformats.org/officeDocument/2006/relationships/hyperlink" Target="http://docs.aws.amazon.com/AWSCloudFormation/latest/UserGuide/aws-resource-ec2-network-acl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network-acl-entry.html" TargetMode="External"/><Relationship Id="rId13" Type="http://schemas.openxmlformats.org/officeDocument/2006/relationships/hyperlink" Target="http://docs.aws.amazon.com/AWSCloudFormation/latest/UserGuide/aws-resource-ec2-network-acl-entry.html" TargetMode="External"/><Relationship Id="rId3" Type="http://schemas.openxmlformats.org/officeDocument/2006/relationships/hyperlink" Target="http://docs.aws.amazon.com/AWSCloudFormation/latest/UserGuide/aws-resource-ec2-network-acl-entry.html" TargetMode="External"/><Relationship Id="rId7" Type="http://schemas.openxmlformats.org/officeDocument/2006/relationships/hyperlink" Target="http://docs.aws.amazon.com/AWSCloudFormation/latest/UserGuide/aws-resource-ec2-network-acl-entry.html" TargetMode="External"/><Relationship Id="rId12" Type="http://schemas.openxmlformats.org/officeDocument/2006/relationships/hyperlink" Target="http://docs.aws.amazon.com/AWSCloudFormation/latest/UserGuide/aws-resource-ec2-network-acl-entry.html" TargetMode="External"/><Relationship Id="rId2" Type="http://schemas.openxmlformats.org/officeDocument/2006/relationships/hyperlink" Target="http://docs.aws.amazon.com/AWSCloudFormation/latest/UserGuide/aws-resource-ec2-network-acl-entry.html" TargetMode="External"/><Relationship Id="rId1" Type="http://schemas.openxmlformats.org/officeDocument/2006/relationships/hyperlink" Target="http://docs.aws.amazon.com/AWSCloudFormation/latest/UserGuide/aws-resource-ec2-network-acl-entry.html" TargetMode="External"/><Relationship Id="rId6" Type="http://schemas.openxmlformats.org/officeDocument/2006/relationships/hyperlink" Target="http://docs.aws.amazon.com/AWSCloudFormation/latest/UserGuide/aws-properties-ec2-networkaclentry-icmp.html" TargetMode="External"/><Relationship Id="rId11" Type="http://schemas.openxmlformats.org/officeDocument/2006/relationships/hyperlink" Target="http://docs.aws.amazon.com/AWSCloudFormation/latest/UserGuide/aws-properties-ec2-networkaclentry-portrange.html" TargetMode="External"/><Relationship Id="rId5" Type="http://schemas.openxmlformats.org/officeDocument/2006/relationships/hyperlink" Target="http://docs.aws.amazon.com/AWSCloudFormation/latest/UserGuide/aws-properties-ec2-networkaclentry-icmp.html" TargetMode="External"/><Relationship Id="rId10" Type="http://schemas.openxmlformats.org/officeDocument/2006/relationships/hyperlink" Target="http://docs.aws.amazon.com/AWSCloudFormation/latest/UserGuide/aws-properties-ec2-networkaclentry-portrange.html" TargetMode="External"/><Relationship Id="rId4" Type="http://schemas.openxmlformats.org/officeDocument/2006/relationships/hyperlink" Target="http://docs.aws.amazon.com/AWSCloudFormation/latest/UserGuide/aws-resource-ec2-network-acl-entry.html" TargetMode="External"/><Relationship Id="rId9" Type="http://schemas.openxmlformats.org/officeDocument/2006/relationships/hyperlink" Target="http://docs.aws.amazon.com/AWSCloudFormation/latest/UserGuide/aws-resource-ec2-network-acl-entry.html" TargetMode="External"/><Relationship Id="rId14" Type="http://schemas.openxmlformats.org/officeDocument/2006/relationships/hyperlink" Target="http://docs.aws.amazon.com/AWSCloudFormation/latest/UserGuide/aws-resource-ec2-network-acl-entry.html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network-acl-assoc.html" TargetMode="External"/><Relationship Id="rId2" Type="http://schemas.openxmlformats.org/officeDocument/2006/relationships/hyperlink" Target="http://docs.aws.amazon.com/AWSCloudFormation/latest/UserGuide/aws-resource-ec2-subnet-network-acl-assoc.html" TargetMode="External"/><Relationship Id="rId1" Type="http://schemas.openxmlformats.org/officeDocument/2006/relationships/hyperlink" Target="http://docs.aws.amazon.com/AWSCloudFormation/latest/UserGuide/aws-resource-ec2-subnet-network-acl-assoc.html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13" Type="http://schemas.openxmlformats.org/officeDocument/2006/relationships/hyperlink" Target="http://docs.aws.amazon.com/AWSCloudFormation/latest/UserGuide/aws-properties-ec2-prefixlist-entry.html" TargetMode="External"/><Relationship Id="rId18" Type="http://schemas.openxmlformats.org/officeDocument/2006/relationships/hyperlink" Target="http://docs.aws.amazon.com/AWSCloudFormation/latest/UserGuide/aws-properties-ec2-prefixlist-entry.html" TargetMode="External"/><Relationship Id="rId3" Type="http://schemas.openxmlformats.org/officeDocument/2006/relationships/hyperlink" Target="http://docs.aws.amazon.com/AWSCloudFormation/latest/UserGuide/aws-resource-ec2-prefixlist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12" Type="http://schemas.openxmlformats.org/officeDocument/2006/relationships/hyperlink" Target="http://docs.aws.amazon.com/AWSCloudFormation/latest/UserGuide/aws-properties-ec2-prefixlist-entry.html" TargetMode="External"/><Relationship Id="rId17" Type="http://schemas.openxmlformats.org/officeDocument/2006/relationships/hyperlink" Target="http://docs.aws.amazon.com/AWSCloudFormation/latest/UserGuide/aws-properties-ec2-prefixlist-entry.html" TargetMode="External"/><Relationship Id="rId2" Type="http://schemas.openxmlformats.org/officeDocument/2006/relationships/hyperlink" Target="http://docs.aws.amazon.com/AWSCloudFormation/latest/UserGuide/aws-resource-ec2-prefixlist.html" TargetMode="External"/><Relationship Id="rId16" Type="http://schemas.openxmlformats.org/officeDocument/2006/relationships/hyperlink" Target="http://docs.aws.amazon.com/AWSCloudFormation/latest/UserGuide/aws-properties-ec2-prefixlist-entry.html" TargetMode="External"/><Relationship Id="rId20" Type="http://schemas.openxmlformats.org/officeDocument/2006/relationships/hyperlink" Target="http://docs.aws.amazon.com/AWSCloudFormation/latest/UserGuide/aws-properties-ec2-prefixlist-entry.html" TargetMode="External"/><Relationship Id="rId1" Type="http://schemas.openxmlformats.org/officeDocument/2006/relationships/hyperlink" Target="http://docs.aws.amazon.com/AWSCloudFormation/latest/UserGuide/aws-resource-ec2-prefixlist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11" Type="http://schemas.openxmlformats.org/officeDocument/2006/relationships/hyperlink" Target="http://docs.aws.amazon.com/AWSCloudFormation/latest/UserGuide/aws-properties-ec2-prefixlist-entry.html" TargetMode="External"/><Relationship Id="rId5" Type="http://schemas.openxmlformats.org/officeDocument/2006/relationships/hyperlink" Target="http://docs.aws.amazon.com/AWSCloudFormation/latest/UserGuide/aws-resource-ec2-prefixlist.html" TargetMode="External"/><Relationship Id="rId15" Type="http://schemas.openxmlformats.org/officeDocument/2006/relationships/hyperlink" Target="http://docs.aws.amazon.com/AWSCloudFormation/latest/UserGuide/aws-properties-ec2-prefixlist-entry.html" TargetMode="External"/><Relationship Id="rId10" Type="http://schemas.openxmlformats.org/officeDocument/2006/relationships/hyperlink" Target="http://docs.aws.amazon.com/AWSCloudFormation/latest/UserGuide/aws-resource-ec2-prefixlist.html" TargetMode="External"/><Relationship Id="rId19" Type="http://schemas.openxmlformats.org/officeDocument/2006/relationships/hyperlink" Target="http://docs.aws.amazon.com/AWSCloudFormation/latest/UserGuide/aws-properties-ec2-prefixlist-entry.html" TargetMode="External"/><Relationship Id="rId4" Type="http://schemas.openxmlformats.org/officeDocument/2006/relationships/hyperlink" Target="http://docs.aws.amazon.com/AWSCloudFormation/latest/UserGuide/aws-resource-ec2-prefixlist.html" TargetMode="External"/><Relationship Id="rId9" Type="http://schemas.openxmlformats.org/officeDocument/2006/relationships/hyperlink" Target="http://docs.aws.amazon.com/AWSCloudFormation/latest/UserGuide/aws-properties-resource-tags.html" TargetMode="External"/><Relationship Id="rId14" Type="http://schemas.openxmlformats.org/officeDocument/2006/relationships/hyperlink" Target="http://docs.aws.amazon.com/AWSCloudFormation/latest/UserGuide/aws-properties-ec2-prefixlist-entry.html" TargetMode="Externa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hyperlink" Target="http://docs.aws.amazon.com/AWSCloudFormation/latest/UserGuide/aws-properties-ec2-security-group-rule.html" TargetMode="External"/><Relationship Id="rId18" Type="http://schemas.openxmlformats.org/officeDocument/2006/relationships/hyperlink" Target="http://docs.aws.amazon.com/AWSCloudFormation/latest/UserGuide/aws-properties-ec2-security-group-rule.html" TargetMode="External"/><Relationship Id="rId26" Type="http://schemas.openxmlformats.org/officeDocument/2006/relationships/hyperlink" Target="http://docs.aws.amazon.com/AWSCloudFormation/latest/UserGuide/aws-properties-ec2-security-group-rule.html" TargetMode="External"/><Relationship Id="rId39" Type="http://schemas.openxmlformats.org/officeDocument/2006/relationships/hyperlink" Target="http://docs.aws.amazon.com/AWSCloudFormation/latest/UserGuide/aws-properties-ec2-security-group-rule.html" TargetMode="External"/><Relationship Id="rId21" Type="http://schemas.openxmlformats.org/officeDocument/2006/relationships/hyperlink" Target="http://docs.aws.amazon.com/AWSCloudFormation/latest/UserGuide/aws-properties-ec2-security-group.html" TargetMode="External"/><Relationship Id="rId34" Type="http://schemas.openxmlformats.org/officeDocument/2006/relationships/hyperlink" Target="http://docs.aws.amazon.com/AWSCloudFormation/latest/UserGuide/aws-properties-ec2-security-group-rule.html" TargetMode="External"/><Relationship Id="rId42" Type="http://schemas.openxmlformats.org/officeDocument/2006/relationships/hyperlink" Target="http://docs.aws.amazon.com/AWSCloudFormation/latest/UserGuide/aws-properties-ec2-security-group.html" TargetMode="External"/><Relationship Id="rId47" Type="http://schemas.openxmlformats.org/officeDocument/2006/relationships/hyperlink" Target="http://docs.aws.amazon.com/AWSCloudFormation/latest/UserGuide/aws-properties-ec2-security-group.html" TargetMode="External"/><Relationship Id="rId7" Type="http://schemas.openxmlformats.org/officeDocument/2006/relationships/hyperlink" Target="http://docs.aws.amazon.com/AWSCloudFormation/latest/UserGuide/aws-properties-ec2-security-group-rule.html" TargetMode="External"/><Relationship Id="rId2" Type="http://schemas.openxmlformats.org/officeDocument/2006/relationships/hyperlink" Target="http://docs.aws.amazon.com/AWSCloudFormation/latest/UserGuide/aws-properties-ec2-security-group.html" TargetMode="External"/><Relationship Id="rId16" Type="http://schemas.openxmlformats.org/officeDocument/2006/relationships/hyperlink" Target="http://docs.aws.amazon.com/AWSCloudFormation/latest/UserGuide/aws-properties-ec2-security-group-rule.html" TargetMode="External"/><Relationship Id="rId29" Type="http://schemas.openxmlformats.org/officeDocument/2006/relationships/hyperlink" Target="http://docs.aws.amazon.com/AWSCloudFormation/latest/UserGuide/aws-properties-ec2-security-group-rule.html" TargetMode="External"/><Relationship Id="rId1" Type="http://schemas.openxmlformats.org/officeDocument/2006/relationships/hyperlink" Target="http://docs.aws.amazon.com/AWSCloudFormation/latest/UserGuide/aws-properties-ec2-security-group.html" TargetMode="External"/><Relationship Id="rId6" Type="http://schemas.openxmlformats.org/officeDocument/2006/relationships/hyperlink" Target="http://docs.aws.amazon.com/AWSCloudFormation/latest/UserGuide/aws-properties-ec2-security-group-rule.html" TargetMode="External"/><Relationship Id="rId11" Type="http://schemas.openxmlformats.org/officeDocument/2006/relationships/hyperlink" Target="http://docs.aws.amazon.com/AWSCloudFormation/latest/UserGuide/aws-properties-ec2-security-group-rule.html" TargetMode="External"/><Relationship Id="rId24" Type="http://schemas.openxmlformats.org/officeDocument/2006/relationships/hyperlink" Target="http://docs.aws.amazon.com/AWSCloudFormation/latest/UserGuide/aws-properties-ec2-security-group-rule.html" TargetMode="External"/><Relationship Id="rId32" Type="http://schemas.openxmlformats.org/officeDocument/2006/relationships/hyperlink" Target="http://docs.aws.amazon.com/AWSCloudFormation/latest/UserGuide/aws-properties-ec2-security-group-rule.html" TargetMode="External"/><Relationship Id="rId37" Type="http://schemas.openxmlformats.org/officeDocument/2006/relationships/hyperlink" Target="http://docs.aws.amazon.com/AWSCloudFormation/latest/UserGuide/aws-properties-ec2-security-group-rule.html" TargetMode="External"/><Relationship Id="rId40" Type="http://schemas.openxmlformats.org/officeDocument/2006/relationships/hyperlink" Target="http://docs.aws.amazon.com/AWSCloudFormation/latest/UserGuide/aws-properties-ec2-security-group-rule.html" TargetMode="External"/><Relationship Id="rId45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ec2-security-group-rule.html" TargetMode="External"/><Relationship Id="rId15" Type="http://schemas.openxmlformats.org/officeDocument/2006/relationships/hyperlink" Target="http://docs.aws.amazon.com/AWSCloudFormation/latest/UserGuide/aws-properties-ec2-security-group-rule.html" TargetMode="External"/><Relationship Id="rId23" Type="http://schemas.openxmlformats.org/officeDocument/2006/relationships/hyperlink" Target="http://docs.aws.amazon.com/AWSCloudFormation/latest/UserGuide/aws-properties-ec2-security-group-rule.html" TargetMode="External"/><Relationship Id="rId28" Type="http://schemas.openxmlformats.org/officeDocument/2006/relationships/hyperlink" Target="http://docs.aws.amazon.com/AWSCloudFormation/latest/UserGuide/aws-properties-ec2-security-group-rule.html" TargetMode="External"/><Relationship Id="rId36" Type="http://schemas.openxmlformats.org/officeDocument/2006/relationships/hyperlink" Target="http://docs.aws.amazon.com/AWSCloudFormation/latest/UserGuide/aws-properties-ec2-security-group-rule.html" TargetMode="External"/><Relationship Id="rId10" Type="http://schemas.openxmlformats.org/officeDocument/2006/relationships/hyperlink" Target="http://docs.aws.amazon.com/AWSCloudFormation/latest/UserGuide/aws-properties-ec2-security-group-rule.html" TargetMode="External"/><Relationship Id="rId19" Type="http://schemas.openxmlformats.org/officeDocument/2006/relationships/hyperlink" Target="http://docs.aws.amazon.com/AWSCloudFormation/latest/UserGuide/aws-properties-ec2-security-group-rule.html" TargetMode="External"/><Relationship Id="rId31" Type="http://schemas.openxmlformats.org/officeDocument/2006/relationships/hyperlink" Target="http://docs.aws.amazon.com/AWSCloudFormation/latest/UserGuide/aws-properties-ec2-security-group-rule.html" TargetMode="External"/><Relationship Id="rId44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ec2-security-group.html" TargetMode="External"/><Relationship Id="rId9" Type="http://schemas.openxmlformats.org/officeDocument/2006/relationships/hyperlink" Target="http://docs.aws.amazon.com/AWSCloudFormation/latest/UserGuide/aws-properties-ec2-security-group-rule.html" TargetMode="External"/><Relationship Id="rId14" Type="http://schemas.openxmlformats.org/officeDocument/2006/relationships/hyperlink" Target="http://docs.aws.amazon.com/AWSCloudFormation/latest/UserGuide/aws-properties-ec2-security-group-rule.html" TargetMode="External"/><Relationship Id="rId22" Type="http://schemas.openxmlformats.org/officeDocument/2006/relationships/hyperlink" Target="http://docs.aws.amazon.com/AWSCloudFormation/latest/UserGuide/aws-properties-ec2-security-group-rule.html" TargetMode="External"/><Relationship Id="rId27" Type="http://schemas.openxmlformats.org/officeDocument/2006/relationships/hyperlink" Target="http://docs.aws.amazon.com/AWSCloudFormation/latest/UserGuide/aws-properties-ec2-security-group-rule.html" TargetMode="External"/><Relationship Id="rId30" Type="http://schemas.openxmlformats.org/officeDocument/2006/relationships/hyperlink" Target="http://docs.aws.amazon.com/AWSCloudFormation/latest/UserGuide/aws-properties-ec2-security-group-rule.html" TargetMode="External"/><Relationship Id="rId35" Type="http://schemas.openxmlformats.org/officeDocument/2006/relationships/hyperlink" Target="http://docs.aws.amazon.com/AWSCloudFormation/latest/UserGuide/aws-properties-ec2-security-group-rule.html" TargetMode="External"/><Relationship Id="rId43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security-group-rule.html" TargetMode="External"/><Relationship Id="rId3" Type="http://schemas.openxmlformats.org/officeDocument/2006/relationships/hyperlink" Target="http://docs.aws.amazon.com/AWSCloudFormation/latest/UserGuide/aws-properties-ec2-security-group.html" TargetMode="External"/><Relationship Id="rId12" Type="http://schemas.openxmlformats.org/officeDocument/2006/relationships/hyperlink" Target="http://docs.aws.amazon.com/AWSCloudFormation/latest/UserGuide/aws-properties-ec2-security-group-rule.html" TargetMode="External"/><Relationship Id="rId17" Type="http://schemas.openxmlformats.org/officeDocument/2006/relationships/hyperlink" Target="http://docs.aws.amazon.com/AWSCloudFormation/latest/UserGuide/aws-properties-ec2-security-group-rule.html" TargetMode="External"/><Relationship Id="rId25" Type="http://schemas.openxmlformats.org/officeDocument/2006/relationships/hyperlink" Target="http://docs.aws.amazon.com/AWSCloudFormation/latest/UserGuide/aws-properties-ec2-security-group-rule.html" TargetMode="External"/><Relationship Id="rId33" Type="http://schemas.openxmlformats.org/officeDocument/2006/relationships/hyperlink" Target="http://docs.aws.amazon.com/AWSCloudFormation/latest/UserGuide/aws-properties-ec2-security-group-rule.html" TargetMode="External"/><Relationship Id="rId38" Type="http://schemas.openxmlformats.org/officeDocument/2006/relationships/hyperlink" Target="http://docs.aws.amazon.com/AWSCloudFormation/latest/UserGuide/aws-properties-ec2-security-group-rule.html" TargetMode="External"/><Relationship Id="rId46" Type="http://schemas.openxmlformats.org/officeDocument/2006/relationships/hyperlink" Target="http://docs.aws.amazon.com/AWSCloudFormation/latest/UserGuide/aws-properties-resource-tags.html" TargetMode="External"/><Relationship Id="rId20" Type="http://schemas.openxmlformats.org/officeDocument/2006/relationships/hyperlink" Target="http://docs.aws.amazon.com/AWSCloudFormation/latest/UserGuide/aws-properties-ec2-security-group-rule.html" TargetMode="External"/><Relationship Id="rId41" Type="http://schemas.openxmlformats.org/officeDocument/2006/relationships/hyperlink" Target="http://docs.aws.amazon.com/AWSCloudFormation/latest/UserGuide/aws-properties-ec2-security-group-rule.html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security-group-egress.html" TargetMode="External"/><Relationship Id="rId3" Type="http://schemas.openxmlformats.org/officeDocument/2006/relationships/hyperlink" Target="http://docs.aws.amazon.com/AWSCloudFormation/latest/UserGuide/aws-resource-ec2-security-group-egress.html" TargetMode="External"/><Relationship Id="rId7" Type="http://schemas.openxmlformats.org/officeDocument/2006/relationships/hyperlink" Target="http://docs.aws.amazon.com/AWSCloudFormation/latest/UserGuide/aws-resource-ec2-security-group-egress.html" TargetMode="External"/><Relationship Id="rId2" Type="http://schemas.openxmlformats.org/officeDocument/2006/relationships/hyperlink" Target="http://docs.aws.amazon.com/AWSCloudFormation/latest/UserGuide/aws-resource-ec2-security-group-egress.html" TargetMode="External"/><Relationship Id="rId1" Type="http://schemas.openxmlformats.org/officeDocument/2006/relationships/hyperlink" Target="http://docs.aws.amazon.com/AWSCloudFormation/latest/UserGuide/aws-resource-ec2-security-group-egress.html" TargetMode="External"/><Relationship Id="rId6" Type="http://schemas.openxmlformats.org/officeDocument/2006/relationships/hyperlink" Target="http://docs.aws.amazon.com/AWSCloudFormation/latest/UserGuide/aws-resource-ec2-security-group-egress.html" TargetMode="External"/><Relationship Id="rId5" Type="http://schemas.openxmlformats.org/officeDocument/2006/relationships/hyperlink" Target="http://docs.aws.amazon.com/AWSCloudFormation/latest/UserGuide/aws-resource-ec2-security-group-egress.html" TargetMode="External"/><Relationship Id="rId10" Type="http://schemas.openxmlformats.org/officeDocument/2006/relationships/hyperlink" Target="http://docs.aws.amazon.com/AWSCloudFormation/latest/UserGuide/aws-resource-ec2-security-group-egress.html" TargetMode="External"/><Relationship Id="rId4" Type="http://schemas.openxmlformats.org/officeDocument/2006/relationships/hyperlink" Target="http://docs.aws.amazon.com/AWSCloudFormation/latest/UserGuide/aws-resource-ec2-security-group-egress.html" TargetMode="External"/><Relationship Id="rId9" Type="http://schemas.openxmlformats.org/officeDocument/2006/relationships/hyperlink" Target="http://docs.aws.amazon.com/AWSCloudFormation/latest/UserGuide/aws-resource-ec2-security-group-egress.html" TargetMode="Externa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ec2-security-group-ingress.html" TargetMode="External"/><Relationship Id="rId13" Type="http://schemas.openxmlformats.org/officeDocument/2006/relationships/hyperlink" Target="http://docs.aws.amazon.com/AWSCloudFormation/latest/UserGuide/aws-properties-ec2-security-group-ingress.html" TargetMode="External"/><Relationship Id="rId3" Type="http://schemas.openxmlformats.org/officeDocument/2006/relationships/hyperlink" Target="http://docs.aws.amazon.com/AWSCloudFormation/latest/UserGuide/aws-properties-ec2-security-group-ingress.html" TargetMode="External"/><Relationship Id="rId7" Type="http://schemas.openxmlformats.org/officeDocument/2006/relationships/hyperlink" Target="http://docs.aws.amazon.com/AWSCloudFormation/latest/UserGuide/aws-properties-ec2-security-group-ingress.html" TargetMode="External"/><Relationship Id="rId12" Type="http://schemas.openxmlformats.org/officeDocument/2006/relationships/hyperlink" Target="http://docs.aws.amazon.com/AWSCloudFormation/latest/UserGuide/aws-properties-ec2-security-group-ingress.html" TargetMode="External"/><Relationship Id="rId2" Type="http://schemas.openxmlformats.org/officeDocument/2006/relationships/hyperlink" Target="http://docs.aws.amazon.com/AWSCloudFormation/latest/UserGuide/aws-properties-ec2-security-group-ingress.html" TargetMode="External"/><Relationship Id="rId1" Type="http://schemas.openxmlformats.org/officeDocument/2006/relationships/hyperlink" Target="http://docs.aws.amazon.com/AWSCloudFormation/latest/UserGuide/aws-properties-ec2-security-group-ingress.html" TargetMode="External"/><Relationship Id="rId6" Type="http://schemas.openxmlformats.org/officeDocument/2006/relationships/hyperlink" Target="http://docs.aws.amazon.com/AWSCloudFormation/latest/UserGuide/aws-properties-ec2-security-group-ingress.html" TargetMode="External"/><Relationship Id="rId11" Type="http://schemas.openxmlformats.org/officeDocument/2006/relationships/hyperlink" Target="http://docs.aws.amazon.com/AWSCloudFormation/latest/UserGuide/aws-properties-ec2-security-group-ingress.html" TargetMode="External"/><Relationship Id="rId5" Type="http://schemas.openxmlformats.org/officeDocument/2006/relationships/hyperlink" Target="http://docs.aws.amazon.com/AWSCloudFormation/latest/UserGuide/aws-properties-ec2-security-group-ingress.html" TargetMode="External"/><Relationship Id="rId10" Type="http://schemas.openxmlformats.org/officeDocument/2006/relationships/hyperlink" Target="http://docs.aws.amazon.com/AWSCloudFormation/latest/UserGuide/aws-properties-ec2-security-group-ingress.html" TargetMode="External"/><Relationship Id="rId4" Type="http://schemas.openxmlformats.org/officeDocument/2006/relationships/hyperlink" Target="http://docs.aws.amazon.com/AWSCloudFormation/latest/UserGuide/aws-properties-ec2-security-group-ingress.html" TargetMode="External"/><Relationship Id="rId9" Type="http://schemas.openxmlformats.org/officeDocument/2006/relationships/hyperlink" Target="http://docs.aws.amazon.com/AWSCloudFormation/latest/UserGuide/aws-properties-ec2-security-group-ingress.html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iam-role.html" TargetMode="External"/><Relationship Id="rId13" Type="http://schemas.openxmlformats.org/officeDocument/2006/relationships/hyperlink" Target="http://docs.aws.amazon.com/AWSCloudFormation/latest/UserGuide/aws-resource-iam-role.html" TargetMode="External"/><Relationship Id="rId1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iam-role.html" TargetMode="External"/><Relationship Id="rId7" Type="http://schemas.openxmlformats.org/officeDocument/2006/relationships/hyperlink" Target="http://docs.aws.amazon.com/AWSCloudFormation/latest/UserGuide/aws-resource-iam-role.html" TargetMode="External"/><Relationship Id="rId12" Type="http://schemas.openxmlformats.org/officeDocument/2006/relationships/hyperlink" Target="http://docs.aws.amazon.com/AWSCloudFormation/latest/UserGuide/aws-properties-iam-policy.html" TargetMode="External"/><Relationship Id="rId17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iam-role.html" TargetMode="External"/><Relationship Id="rId16" Type="http://schemas.openxmlformats.org/officeDocument/2006/relationships/hyperlink" Target="http://docs.aws.amazon.com/AWSCloudFormation/latest/UserGuide/aws-properties-resource-tags.html" TargetMode="External"/><Relationship Id="rId1" Type="http://schemas.openxmlformats.org/officeDocument/2006/relationships/hyperlink" Target="http://docs.aws.amazon.com/AWSCloudFormation/latest/UserGuide/aws-resource-iam-role.html" TargetMode="External"/><Relationship Id="rId6" Type="http://schemas.openxmlformats.org/officeDocument/2006/relationships/hyperlink" Target="http://docs.aws.amazon.com/AWSCloudFormation/latest/UserGuide/aws-resource-iam-role.html" TargetMode="External"/><Relationship Id="rId11" Type="http://schemas.openxmlformats.org/officeDocument/2006/relationships/hyperlink" Target="http://docs.aws.amazon.com/AWSCloudFormation/latest/UserGuide/aws-properties-iam-policy.html" TargetMode="External"/><Relationship Id="rId5" Type="http://schemas.openxmlformats.org/officeDocument/2006/relationships/hyperlink" Target="http://docs.aws.amazon.com/AWSCloudFormation/latest/UserGuide/aws-resource-iam-role.html" TargetMode="External"/><Relationship Id="rId15" Type="http://schemas.openxmlformats.org/officeDocument/2006/relationships/hyperlink" Target="http://docs.aws.amazon.com/AWSCloudFormation/latest/UserGuide/aws-properties-resource-tags.html" TargetMode="External"/><Relationship Id="rId10" Type="http://schemas.openxmlformats.org/officeDocument/2006/relationships/hyperlink" Target="http://docs.aws.amazon.com/AWSCloudFormation/latest/UserGuide/aws-properties-iam-policy.html" TargetMode="External"/><Relationship Id="rId4" Type="http://schemas.openxmlformats.org/officeDocument/2006/relationships/hyperlink" Target="http://docs.aws.amazon.com/AWSCloudFormation/latest/UserGuide/aws-resource-iam-role.html" TargetMode="External"/><Relationship Id="rId9" Type="http://schemas.openxmlformats.org/officeDocument/2006/relationships/hyperlink" Target="http://docs.aws.amazon.com/AWSCloudFormation/latest/UserGuide/aws-properties-iam-policy.html" TargetMode="External"/><Relationship Id="rId14" Type="http://schemas.openxmlformats.org/officeDocument/2006/relationships/hyperlink" Target="http://docs.aws.amazon.com/AWSCloudFormation/latest/UserGuide/aws-resource-iam-role.html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iam-instanceprofile.html" TargetMode="External"/><Relationship Id="rId2" Type="http://schemas.openxmlformats.org/officeDocument/2006/relationships/hyperlink" Target="http://docs.aws.amazon.com/AWSCloudFormation/latest/UserGuide/aws-resource-iam-instanceprofile.html" TargetMode="External"/><Relationship Id="rId1" Type="http://schemas.openxmlformats.org/officeDocument/2006/relationships/hyperlink" Target="http://docs.aws.amazon.com/AWSCloudFormation/latest/UserGuide/aws-resource-iam-instanceprofile.html" TargetMode="External"/><Relationship Id="rId4" Type="http://schemas.openxmlformats.org/officeDocument/2006/relationships/hyperlink" Target="http://docs.aws.amazon.com/AWSCloudFormation/latest/UserGuide/aws-resource-iam-instanceprofile.html" TargetMode="Externa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iam-managedpolicy.html" TargetMode="External"/><Relationship Id="rId3" Type="http://schemas.openxmlformats.org/officeDocument/2006/relationships/hyperlink" Target="http://docs.aws.amazon.com/AWSCloudFormation/latest/UserGuide/aws-resource-iam-managedpolicy.html" TargetMode="External"/><Relationship Id="rId7" Type="http://schemas.openxmlformats.org/officeDocument/2006/relationships/hyperlink" Target="http://docs.aws.amazon.com/AWSCloudFormation/latest/UserGuide/aws-resource-iam-managedpolicy.html" TargetMode="External"/><Relationship Id="rId2" Type="http://schemas.openxmlformats.org/officeDocument/2006/relationships/hyperlink" Target="http://docs.aws.amazon.com/AWSCloudFormation/latest/UserGuide/aws-resource-iam-managedpolicy.html" TargetMode="External"/><Relationship Id="rId1" Type="http://schemas.openxmlformats.org/officeDocument/2006/relationships/hyperlink" Target="http://docs.aws.amazon.com/AWSCloudFormation/latest/UserGuide/aws-resource-iam-managedpolicy.html" TargetMode="External"/><Relationship Id="rId6" Type="http://schemas.openxmlformats.org/officeDocument/2006/relationships/hyperlink" Target="http://docs.aws.amazon.com/AWSCloudFormation/latest/UserGuide/aws-resource-iam-managedpolicy.html" TargetMode="External"/><Relationship Id="rId5" Type="http://schemas.openxmlformats.org/officeDocument/2006/relationships/hyperlink" Target="http://docs.aws.amazon.com/AWSCloudFormation/latest/UserGuide/aws-resource-iam-managedpolicy.html" TargetMode="External"/><Relationship Id="rId4" Type="http://schemas.openxmlformats.org/officeDocument/2006/relationships/hyperlink" Target="http://docs.aws.amazon.com/AWSCloudFormation/latest/UserGuide/aws-resource-iam-managedpolicy.html" TargetMode="Externa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vpcendpoint.html" TargetMode="External"/><Relationship Id="rId3" Type="http://schemas.openxmlformats.org/officeDocument/2006/relationships/hyperlink" Target="http://docs.aws.amazon.com/AWSCloudFormation/latest/UserGuide/aws-resource-ec2-vpcendpoint.html" TargetMode="External"/><Relationship Id="rId7" Type="http://schemas.openxmlformats.org/officeDocument/2006/relationships/hyperlink" Target="http://docs.aws.amazon.com/AWSCloudFormation/latest/UserGuide/aws-resource-ec2-vpcendpoint.html" TargetMode="External"/><Relationship Id="rId2" Type="http://schemas.openxmlformats.org/officeDocument/2006/relationships/hyperlink" Target="http://docs.aws.amazon.com/AWSCloudFormation/latest/UserGuide/aws-resource-ec2-vpcendpoint.html" TargetMode="External"/><Relationship Id="rId1" Type="http://schemas.openxmlformats.org/officeDocument/2006/relationships/hyperlink" Target="http://docs.aws.amazon.com/AWSCloudFormation/latest/UserGuide/aws-resource-ec2-vpcendpoint.html" TargetMode="External"/><Relationship Id="rId6" Type="http://schemas.openxmlformats.org/officeDocument/2006/relationships/hyperlink" Target="http://docs.aws.amazon.com/AWSCloudFormation/latest/UserGuide/aws-resource-ec2-vpcendpoint.html" TargetMode="External"/><Relationship Id="rId5" Type="http://schemas.openxmlformats.org/officeDocument/2006/relationships/hyperlink" Target="http://docs.aws.amazon.com/AWSCloudFormation/latest/UserGuide/aws-resource-ec2-vpcendpoint.html" TargetMode="External"/><Relationship Id="rId4" Type="http://schemas.openxmlformats.org/officeDocument/2006/relationships/hyperlink" Target="http://docs.aws.amazon.com/AWSCloudFormation/latest/UserGuide/aws-resource-ec2-vpcendpoint.html" TargetMode="External"/><Relationship Id="rId9" Type="http://schemas.openxmlformats.org/officeDocument/2006/relationships/hyperlink" Target="http://docs.aws.amazon.com/AWSCloudFormation/latest/UserGuide/aws-resource-ec2-vpcendpoint.html" TargetMode="Externa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hyperlink" Target="http://docs.aws.amazon.com/AWSCloudFormation/latest/UserGuide/aws-properties-ec2-instance-ssmassociations.html" TargetMode="External"/><Relationship Id="rId21" Type="http://schemas.openxmlformats.org/officeDocument/2006/relationships/hyperlink" Target="http://docs.aws.amazon.com/AWSCloudFormation/latest/UserGuide/aws-properties-ec2-blockdev-template.html" TargetMode="External"/><Relationship Id="rId42" Type="http://schemas.openxmlformats.org/officeDocument/2006/relationships/hyperlink" Target="http://docs.aws.amazon.com/AWSCloudFormation/latest/UserGuide/aws-properties-ec2-instance-elasticinferenceaccelerator.html" TargetMode="External"/><Relationship Id="rId63" Type="http://schemas.openxmlformats.org/officeDocument/2006/relationships/hyperlink" Target="http://docs.aws.amazon.com/AWSCloudFormation/latest/UserGuide/aws-properties-ec2-instance.html" TargetMode="External"/><Relationship Id="rId84" Type="http://schemas.openxmlformats.org/officeDocument/2006/relationships/hyperlink" Target="http://docs.aws.amazon.com/AWSCloudFormation/latest/UserGuide/aws-properties-ec2-network-iface-embedded.html" TargetMode="External"/><Relationship Id="rId16" Type="http://schemas.openxmlformats.org/officeDocument/2006/relationships/hyperlink" Target="http://docs.aws.amazon.com/AWSCloudFormation/latest/UserGuide/aws-properties-ec2-blockdev-mapping.html" TargetMode="External"/><Relationship Id="rId107" Type="http://schemas.openxmlformats.org/officeDocument/2006/relationships/hyperlink" Target="http://docs.aws.amazon.com/AWSCloudFormation/latest/UserGuide/aws-properties-ec2-instance.html" TargetMode="External"/><Relationship Id="rId11" Type="http://schemas.openxmlformats.org/officeDocument/2006/relationships/hyperlink" Target="http://docs.aws.amazon.com/AWSCloudFormation/latest/UserGuide/aws-properties-ec2-blockdev-template.html" TargetMode="External"/><Relationship Id="rId32" Type="http://schemas.openxmlformats.org/officeDocument/2006/relationships/hyperlink" Target="http://docs.aws.amazon.com/AWSCloudFormation/latest/UserGuide/aws-properties-ec2-instance-creditspecification.html" TargetMode="External"/><Relationship Id="rId37" Type="http://schemas.openxmlformats.org/officeDocument/2006/relationships/hyperlink" Target="http://docs.aws.amazon.com/AWSCloudFormation/latest/UserGuide/aws-properties-ec2-instance-elasticgpuspecification.html" TargetMode="External"/><Relationship Id="rId53" Type="http://schemas.openxmlformats.org/officeDocument/2006/relationships/hyperlink" Target="http://docs.aws.amazon.com/AWSCloudFormation/latest/UserGuide/aws-properties-ec2-instance.html" TargetMode="External"/><Relationship Id="rId58" Type="http://schemas.openxmlformats.org/officeDocument/2006/relationships/hyperlink" Target="http://docs.aws.amazon.com/AWSCloudFormation/latest/UserGuide/aws-properties-ec2-instance.html" TargetMode="External"/><Relationship Id="rId74" Type="http://schemas.openxmlformats.org/officeDocument/2006/relationships/hyperlink" Target="http://docs.aws.amazon.com/AWSCloudFormation/latest/UserGuide/aws-properties-ec2-network-iface-embedded.html" TargetMode="External"/><Relationship Id="rId79" Type="http://schemas.openxmlformats.org/officeDocument/2006/relationships/hyperlink" Target="http://docs.aws.amazon.com/AWSCloudFormation/latest/UserGuide/aws-properties-ec2-network-iface-embedded.html" TargetMode="External"/><Relationship Id="rId102" Type="http://schemas.openxmlformats.org/officeDocument/2006/relationships/hyperlink" Target="http://docs.aws.amazon.com/AWSCloudFormation/latest/UserGuide/aws-properties-ec2-network-iface-embedded.html" TargetMode="External"/><Relationship Id="rId123" Type="http://schemas.openxmlformats.org/officeDocument/2006/relationships/hyperlink" Target="http://docs.aws.amazon.com/AWSCloudFormation/latest/UserGuide/aws-properties-ec2-instance.html" TargetMode="External"/><Relationship Id="rId128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ec2-instance.html" TargetMode="External"/><Relationship Id="rId90" Type="http://schemas.openxmlformats.org/officeDocument/2006/relationships/hyperlink" Target="http://docs.aws.amazon.com/AWSCloudFormation/latest/UserGuide/aws-properties-ec2-network-iface-embedded.html" TargetMode="External"/><Relationship Id="rId95" Type="http://schemas.openxmlformats.org/officeDocument/2006/relationships/hyperlink" Target="http://docs.aws.amazon.com/AWSCloudFormation/latest/UserGuide/aws-properties-ec2-network-iface-embedded.html" TargetMode="External"/><Relationship Id="rId22" Type="http://schemas.openxmlformats.org/officeDocument/2006/relationships/hyperlink" Target="http://docs.aws.amazon.com/AWSCloudFormation/latest/UserGuide/aws-properties-ec2-blockdev-template.html" TargetMode="External"/><Relationship Id="rId27" Type="http://schemas.openxmlformats.org/officeDocument/2006/relationships/hyperlink" Target="http://docs.aws.amazon.com/AWSCloudFormation/latest/UserGuide/aws-properties-ec2-blockdev-mapping.html" TargetMode="External"/><Relationship Id="rId43" Type="http://schemas.openxmlformats.org/officeDocument/2006/relationships/hyperlink" Target="http://docs.aws.amazon.com/AWSCloudFormation/latest/UserGuide/aws-properties-ec2-instance.html" TargetMode="External"/><Relationship Id="rId48" Type="http://schemas.openxmlformats.org/officeDocument/2006/relationships/hyperlink" Target="http://docs.aws.amazon.com/AWSCloudFormation/latest/UserGuide/aws-properties-ec2-instance.html" TargetMode="External"/><Relationship Id="rId64" Type="http://schemas.openxmlformats.org/officeDocument/2006/relationships/hyperlink" Target="http://docs.aws.amazon.com/AWSCloudFormation/latest/UserGuide/aws-properties-ec2-instance-licensespecification.html" TargetMode="External"/><Relationship Id="rId69" Type="http://schemas.openxmlformats.org/officeDocument/2006/relationships/hyperlink" Target="http://docs.aws.amazon.com/AWSCloudFormation/latest/UserGuide/aws-properties-ec2-network-iface-embedded.html" TargetMode="External"/><Relationship Id="rId113" Type="http://schemas.openxmlformats.org/officeDocument/2006/relationships/hyperlink" Target="http://docs.aws.amazon.com/AWSCloudFormation/latest/UserGuide/aws-properties-ec2-instance-ssmassociations-associationparameters.html" TargetMode="External"/><Relationship Id="rId118" Type="http://schemas.openxmlformats.org/officeDocument/2006/relationships/hyperlink" Target="http://docs.aws.amazon.com/AWSCloudFormation/latest/UserGuide/aws-properties-ec2-instance-ssmassociations-associationparameters.html" TargetMode="External"/><Relationship Id="rId134" Type="http://schemas.openxmlformats.org/officeDocument/2006/relationships/hyperlink" Target="http://docs.aws.amazon.com/AWSCloudFormation/latest/UserGuide/aws-properties-ec2-mount-point.html" TargetMode="External"/><Relationship Id="rId80" Type="http://schemas.openxmlformats.org/officeDocument/2006/relationships/hyperlink" Target="http://docs.aws.amazon.com/AWSCloudFormation/latest/UserGuide/aws-properties-ec2-network-interface-privateipspec.html" TargetMode="External"/><Relationship Id="rId85" Type="http://schemas.openxmlformats.org/officeDocument/2006/relationships/hyperlink" Target="http://docs.aws.amazon.com/AWSCloudFormation/latest/UserGuide/aws-properties-ec2-network-iface-embedded.html" TargetMode="External"/><Relationship Id="rId12" Type="http://schemas.openxmlformats.org/officeDocument/2006/relationships/hyperlink" Target="http://docs.aws.amazon.com/AWSCloudFormation/latest/UserGuide/aws-properties-ec2-blockdev-template.html" TargetMode="External"/><Relationship Id="rId17" Type="http://schemas.openxmlformats.org/officeDocument/2006/relationships/hyperlink" Target="http://docs.aws.amazon.com/AWSCloudFormation/latest/UserGuide/aws-properties-ec2-blockdev-mapping.html" TargetMode="External"/><Relationship Id="rId33" Type="http://schemas.openxmlformats.org/officeDocument/2006/relationships/hyperlink" Target="http://docs.aws.amazon.com/AWSCloudFormation/latest/UserGuide/aws-properties-ec2-instance.html" TargetMode="External"/><Relationship Id="rId38" Type="http://schemas.openxmlformats.org/officeDocument/2006/relationships/hyperlink" Target="http://docs.aws.amazon.com/AWSCloudFormation/latest/UserGuide/aws-properties-ec2-instance.html" TargetMode="External"/><Relationship Id="rId59" Type="http://schemas.openxmlformats.org/officeDocument/2006/relationships/hyperlink" Target="http://docs.aws.amazon.com/AWSCloudFormation/latest/UserGuide/aws-properties-ec2-instance.html" TargetMode="External"/><Relationship Id="rId103" Type="http://schemas.openxmlformats.org/officeDocument/2006/relationships/hyperlink" Target="http://docs.aws.amazon.com/AWSCloudFormation/latest/UserGuide/aws-properties-ec2-network-iface-embedded.html" TargetMode="External"/><Relationship Id="rId108" Type="http://schemas.openxmlformats.org/officeDocument/2006/relationships/hyperlink" Target="http://docs.aws.amazon.com/AWSCloudFormation/latest/UserGuide/aws-properties-ec2-instance.html" TargetMode="External"/><Relationship Id="rId124" Type="http://schemas.openxmlformats.org/officeDocument/2006/relationships/hyperlink" Target="http://docs.aws.amazon.com/AWSCloudFormation/latest/UserGuide/aws-properties-ec2-instance.html" TargetMode="External"/><Relationship Id="rId129" Type="http://schemas.openxmlformats.org/officeDocument/2006/relationships/hyperlink" Target="http://docs.aws.amazon.com/AWSCloudFormation/latest/UserGuide/aws-properties-ec2-instance.html" TargetMode="External"/><Relationship Id="rId54" Type="http://schemas.openxmlformats.org/officeDocument/2006/relationships/hyperlink" Target="http://docs.aws.amazon.com/AWSCloudFormation/latest/UserGuide/aws-properties-ec2-instance.html" TargetMode="External"/><Relationship Id="rId70" Type="http://schemas.openxmlformats.org/officeDocument/2006/relationships/hyperlink" Target="http://docs.aws.amazon.com/AWSCloudFormation/latest/UserGuide/aws-properties-ec2-network-iface-embedded.html" TargetMode="External"/><Relationship Id="rId75" Type="http://schemas.openxmlformats.org/officeDocument/2006/relationships/hyperlink" Target="http://docs.aws.amazon.com/AWSCloudFormation/latest/UserGuide/aws-properties-ec2-instance-instanceipv6address.html" TargetMode="External"/><Relationship Id="rId91" Type="http://schemas.openxmlformats.org/officeDocument/2006/relationships/hyperlink" Target="http://docs.aws.amazon.com/AWSCloudFormation/latest/UserGuide/aws-properties-ec2-network-iface-embedded.html" TargetMode="External"/><Relationship Id="rId96" Type="http://schemas.openxmlformats.org/officeDocument/2006/relationships/hyperlink" Target="http://docs.aws.amazon.com/AWSCloudFormation/latest/UserGuide/aws-properties-ec2-network-iface-embedded.html" TargetMode="External"/><Relationship Id="rId1" Type="http://schemas.openxmlformats.org/officeDocument/2006/relationships/hyperlink" Target="http://docs.aws.amazon.com/AWSCloudFormation/latest/UserGuide/aws-properties-ec2-instance.html" TargetMode="External"/><Relationship Id="rId6" Type="http://schemas.openxmlformats.org/officeDocument/2006/relationships/hyperlink" Target="http://docs.aws.amazon.com/AWSCloudFormation/latest/UserGuide/aws-properties-ec2-blockdev-mapping.html" TargetMode="External"/><Relationship Id="rId23" Type="http://schemas.openxmlformats.org/officeDocument/2006/relationships/hyperlink" Target="http://docs.aws.amazon.com/AWSCloudFormation/latest/UserGuide/aws-properties-ec2-blockdev-template.html" TargetMode="External"/><Relationship Id="rId28" Type="http://schemas.openxmlformats.org/officeDocument/2006/relationships/hyperlink" Target="http://docs.aws.amazon.com/AWSCloudFormation/latest/UserGuide/aws-properties-ec2-instance.html" TargetMode="External"/><Relationship Id="rId49" Type="http://schemas.openxmlformats.org/officeDocument/2006/relationships/hyperlink" Target="http://docs.aws.amazon.com/AWSCloudFormation/latest/UserGuide/aws-properties-ec2-instance.html" TargetMode="External"/><Relationship Id="rId114" Type="http://schemas.openxmlformats.org/officeDocument/2006/relationships/hyperlink" Target="http://docs.aws.amazon.com/AWSCloudFormation/latest/UserGuide/aws-properties-ec2-instance-ssmassociations-associationparameters.html" TargetMode="External"/><Relationship Id="rId119" Type="http://schemas.openxmlformats.org/officeDocument/2006/relationships/hyperlink" Target="http://docs.aws.amazon.com/AWSCloudFormation/latest/UserGuide/aws-properties-ec2-instance-ssmassociations-associationparameters.html" TargetMode="External"/><Relationship Id="rId44" Type="http://schemas.openxmlformats.org/officeDocument/2006/relationships/hyperlink" Target="http://docs.aws.amazon.com/AWSCloudFormation/latest/UserGuide/aws-properties-ec2-instance-enclaveoptions.html" TargetMode="External"/><Relationship Id="rId60" Type="http://schemas.openxmlformats.org/officeDocument/2006/relationships/hyperlink" Target="http://docs.aws.amazon.com/AWSCloudFormation/latest/UserGuide/aws-properties-ec2-instance-launchtemplatespecification.html" TargetMode="External"/><Relationship Id="rId65" Type="http://schemas.openxmlformats.org/officeDocument/2006/relationships/hyperlink" Target="http://docs.aws.amazon.com/AWSCloudFormation/latest/UserGuide/aws-properties-ec2-instance-licensespecification.html" TargetMode="External"/><Relationship Id="rId81" Type="http://schemas.openxmlformats.org/officeDocument/2006/relationships/hyperlink" Target="http://docs.aws.amazon.com/AWSCloudFormation/latest/UserGuide/aws-properties-ec2-network-interface-privateipspec.html" TargetMode="External"/><Relationship Id="rId86" Type="http://schemas.openxmlformats.org/officeDocument/2006/relationships/hyperlink" Target="http://docs.aws.amazon.com/AWSCloudFormation/latest/UserGuide/aws-properties-ec2-network-iface-embedded.html" TargetMode="External"/><Relationship Id="rId130" Type="http://schemas.openxmlformats.org/officeDocument/2006/relationships/hyperlink" Target="http://docs.aws.amazon.com/AWSCloudFormation/latest/UserGuide/aws-properties-ec2-instance.html" TargetMode="External"/><Relationship Id="rId135" Type="http://schemas.openxmlformats.org/officeDocument/2006/relationships/hyperlink" Target="http://docs.aws.amazon.com/AWSCloudFormation/latest/UserGuide/aws-properties-ec2-mount-point.html" TargetMode="External"/><Relationship Id="rId13" Type="http://schemas.openxmlformats.org/officeDocument/2006/relationships/hyperlink" Target="http://docs.aws.amazon.com/AWSCloudFormation/latest/UserGuide/aws-properties-ec2-blockdev-template.html" TargetMode="External"/><Relationship Id="rId18" Type="http://schemas.openxmlformats.org/officeDocument/2006/relationships/hyperlink" Target="http://docs.aws.amazon.com/AWSCloudFormation/latest/UserGuide/aws-properties-ec2-blockdev-mapping.html" TargetMode="External"/><Relationship Id="rId39" Type="http://schemas.openxmlformats.org/officeDocument/2006/relationships/hyperlink" Target="http://docs.aws.amazon.com/AWSCloudFormation/latest/UserGuide/aws-properties-ec2-instance-elasticinferenceaccelerator.html" TargetMode="External"/><Relationship Id="rId109" Type="http://schemas.openxmlformats.org/officeDocument/2006/relationships/hyperlink" Target="http://docs.aws.amazon.com/AWSCloudFormation/latest/UserGuide/aws-properties-ec2-instance.html" TargetMode="External"/><Relationship Id="rId34" Type="http://schemas.openxmlformats.org/officeDocument/2006/relationships/hyperlink" Target="http://docs.aws.amazon.com/AWSCloudFormation/latest/UserGuide/aws-properties-ec2-instance.html" TargetMode="External"/><Relationship Id="rId50" Type="http://schemas.openxmlformats.org/officeDocument/2006/relationships/hyperlink" Target="http://docs.aws.amazon.com/AWSCloudFormation/latest/UserGuide/aws-properties-ec2-instance.html" TargetMode="External"/><Relationship Id="rId55" Type="http://schemas.openxmlformats.org/officeDocument/2006/relationships/hyperlink" Target="http://docs.aws.amazon.com/AWSCloudFormation/latest/UserGuide/aws-properties-ec2-instance-instanceipv6address.html" TargetMode="External"/><Relationship Id="rId76" Type="http://schemas.openxmlformats.org/officeDocument/2006/relationships/hyperlink" Target="http://docs.aws.amazon.com/AWSCloudFormation/latest/UserGuide/aws-properties-ec2-instance-instanceipv6address.html" TargetMode="External"/><Relationship Id="rId97" Type="http://schemas.openxmlformats.org/officeDocument/2006/relationships/hyperlink" Target="http://docs.aws.amazon.com/AWSCloudFormation/latest/UserGuide/aws-properties-ec2-network-iface-embedded.html" TargetMode="External"/><Relationship Id="rId104" Type="http://schemas.openxmlformats.org/officeDocument/2006/relationships/hyperlink" Target="http://docs.aws.amazon.com/AWSCloudFormation/latest/UserGuide/aws-properties-ec2-instance.html" TargetMode="External"/><Relationship Id="rId120" Type="http://schemas.openxmlformats.org/officeDocument/2006/relationships/hyperlink" Target="http://docs.aws.amazon.com/AWSCloudFormation/latest/UserGuide/aws-properties-ec2-instance-ssmassociations-associationparameters.html" TargetMode="External"/><Relationship Id="rId125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properties-ec2-blockdev-mapping.html" TargetMode="External"/><Relationship Id="rId71" Type="http://schemas.openxmlformats.org/officeDocument/2006/relationships/hyperlink" Target="http://docs.aws.amazon.com/AWSCloudFormation/latest/UserGuide/aws-properties-ec2-network-iface-embedded.html" TargetMode="External"/><Relationship Id="rId92" Type="http://schemas.openxmlformats.org/officeDocument/2006/relationships/hyperlink" Target="http://docs.aws.amazon.com/AWSCloudFormation/latest/UserGuide/aws-properties-ec2-network-iface-embedded.html" TargetMode="External"/><Relationship Id="rId2" Type="http://schemas.openxmlformats.org/officeDocument/2006/relationships/hyperlink" Target="http://docs.aws.amazon.com/AWSCloudFormation/latest/UserGuide/aws-properties-ec2-instance.html" TargetMode="External"/><Relationship Id="rId29" Type="http://schemas.openxmlformats.org/officeDocument/2006/relationships/hyperlink" Target="http://docs.aws.amazon.com/AWSCloudFormation/latest/UserGuide/aws-properties-ec2-instance-cpuoptions.html" TargetMode="External"/><Relationship Id="rId24" Type="http://schemas.openxmlformats.org/officeDocument/2006/relationships/hyperlink" Target="http://docs.aws.amazon.com/AWSCloudFormation/latest/UserGuide/aws-properties-ec2-blockdev-template.html" TargetMode="External"/><Relationship Id="rId40" Type="http://schemas.openxmlformats.org/officeDocument/2006/relationships/hyperlink" Target="http://docs.aws.amazon.com/AWSCloudFormation/latest/UserGuide/aws-properties-ec2-instance-elasticinferenceaccelerator.html" TargetMode="External"/><Relationship Id="rId45" Type="http://schemas.openxmlformats.org/officeDocument/2006/relationships/hyperlink" Target="http://docs.aws.amazon.com/AWSCloudFormation/latest/UserGuide/aws-properties-ec2-instance.html" TargetMode="External"/><Relationship Id="rId66" Type="http://schemas.openxmlformats.org/officeDocument/2006/relationships/hyperlink" Target="http://docs.aws.amazon.com/AWSCloudFormation/latest/UserGuide/aws-properties-ec2-instance.html" TargetMode="External"/><Relationship Id="rId87" Type="http://schemas.openxmlformats.org/officeDocument/2006/relationships/hyperlink" Target="http://docs.aws.amazon.com/AWSCloudFormation/latest/UserGuide/aws-properties-ec2-network-iface-embedded.html" TargetMode="External"/><Relationship Id="rId110" Type="http://schemas.openxmlformats.org/officeDocument/2006/relationships/hyperlink" Target="http://docs.aws.amazon.com/AWSCloudFormation/latest/UserGuide/aws-properties-ec2-instance.html" TargetMode="External"/><Relationship Id="rId115" Type="http://schemas.openxmlformats.org/officeDocument/2006/relationships/hyperlink" Target="http://docs.aws.amazon.com/AWSCloudFormation/latest/UserGuide/aws-properties-ec2-instance-ssmassociations-associationparameters.html" TargetMode="External"/><Relationship Id="rId131" Type="http://schemas.openxmlformats.org/officeDocument/2006/relationships/hyperlink" Target="http://docs.aws.amazon.com/AWSCloudFormation/latest/UserGuide/aws-properties-ec2-instance.html" TargetMode="External"/><Relationship Id="rId61" Type="http://schemas.openxmlformats.org/officeDocument/2006/relationships/hyperlink" Target="http://docs.aws.amazon.com/AWSCloudFormation/latest/UserGuide/aws-properties-ec2-instance-launchtemplatespecification.html" TargetMode="External"/><Relationship Id="rId82" Type="http://schemas.openxmlformats.org/officeDocument/2006/relationships/hyperlink" Target="http://docs.aws.amazon.com/AWSCloudFormation/latest/UserGuide/aws-properties-ec2-network-interface-privateipspec.html" TargetMode="External"/><Relationship Id="rId19" Type="http://schemas.openxmlformats.org/officeDocument/2006/relationships/hyperlink" Target="http://docs.aws.amazon.com/AWSCloudFormation/latest/UserGuide/aws-properties-ec2-blockdev-template.html" TargetMode="External"/><Relationship Id="rId14" Type="http://schemas.openxmlformats.org/officeDocument/2006/relationships/hyperlink" Target="http://docs.aws.amazon.com/AWSCloudFormation/latest/UserGuide/aws-properties-ec2-blockdev-template.html" TargetMode="External"/><Relationship Id="rId30" Type="http://schemas.openxmlformats.org/officeDocument/2006/relationships/hyperlink" Target="http://docs.aws.amazon.com/AWSCloudFormation/latest/UserGuide/aws-properties-ec2-instance-cpuoptions.html" TargetMode="External"/><Relationship Id="rId35" Type="http://schemas.openxmlformats.org/officeDocument/2006/relationships/hyperlink" Target="http://docs.aws.amazon.com/AWSCloudFormation/latest/UserGuide/aws-properties-ec2-instance.html" TargetMode="External"/><Relationship Id="rId56" Type="http://schemas.openxmlformats.org/officeDocument/2006/relationships/hyperlink" Target="http://docs.aws.amazon.com/AWSCloudFormation/latest/UserGuide/aws-properties-ec2-instance-instanceipv6address.html" TargetMode="External"/><Relationship Id="rId77" Type="http://schemas.openxmlformats.org/officeDocument/2006/relationships/hyperlink" Target="http://docs.aws.amazon.com/AWSCloudFormation/latest/UserGuide/aws-properties-ec2-network-iface-embedded.html" TargetMode="External"/><Relationship Id="rId100" Type="http://schemas.openxmlformats.org/officeDocument/2006/relationships/hyperlink" Target="http://docs.aws.amazon.com/AWSCloudFormation/latest/UserGuide/aws-properties-ec2-network-interface-privateipspec.html" TargetMode="External"/><Relationship Id="rId105" Type="http://schemas.openxmlformats.org/officeDocument/2006/relationships/hyperlink" Target="http://docs.aws.amazon.com/AWSCloudFormation/latest/UserGuide/aws-properties-ec2-instance.html" TargetMode="External"/><Relationship Id="rId126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blockdev-template.html" TargetMode="External"/><Relationship Id="rId51" Type="http://schemas.openxmlformats.org/officeDocument/2006/relationships/hyperlink" Target="http://docs.aws.amazon.com/AWSCloudFormation/latest/UserGuide/aws-properties-ec2-instance.html" TargetMode="External"/><Relationship Id="rId72" Type="http://schemas.openxmlformats.org/officeDocument/2006/relationships/hyperlink" Target="http://docs.aws.amazon.com/AWSCloudFormation/latest/UserGuide/aws-properties-ec2-network-iface-embedded.html" TargetMode="External"/><Relationship Id="rId93" Type="http://schemas.openxmlformats.org/officeDocument/2006/relationships/hyperlink" Target="http://docs.aws.amazon.com/AWSCloudFormation/latest/UserGuide/aws-properties-ec2-instance-instanceipv6address.html" TargetMode="External"/><Relationship Id="rId98" Type="http://schemas.openxmlformats.org/officeDocument/2006/relationships/hyperlink" Target="http://docs.aws.amazon.com/AWSCloudFormation/latest/UserGuide/aws-properties-ec2-network-interface-privateipspec.html" TargetMode="External"/><Relationship Id="rId121" Type="http://schemas.openxmlformats.org/officeDocument/2006/relationships/hyperlink" Target="http://docs.aws.amazon.com/AWSCloudFormation/latest/UserGuide/aws-properties-ec2-instance-ssmassociations-associationparameters.html" TargetMode="External"/><Relationship Id="rId3" Type="http://schemas.openxmlformats.org/officeDocument/2006/relationships/hyperlink" Target="http://docs.aws.amazon.com/AWSCloudFormation/latest/UserGuide/aws-properties-ec2-instance.html" TargetMode="External"/><Relationship Id="rId25" Type="http://schemas.openxmlformats.org/officeDocument/2006/relationships/hyperlink" Target="http://docs.aws.amazon.com/AWSCloudFormation/latest/UserGuide/aws-properties-ec2-blockdev-template.html" TargetMode="External"/><Relationship Id="rId46" Type="http://schemas.openxmlformats.org/officeDocument/2006/relationships/hyperlink" Target="http://docs.aws.amazon.com/AWSCloudFormation/latest/UserGuide/aws-properties-ec2-instance-hibernationoptions.html" TargetMode="External"/><Relationship Id="rId67" Type="http://schemas.openxmlformats.org/officeDocument/2006/relationships/hyperlink" Target="http://docs.aws.amazon.com/AWSCloudFormation/latest/UserGuide/aws-properties-ec2-instance.html" TargetMode="External"/><Relationship Id="rId116" Type="http://schemas.openxmlformats.org/officeDocument/2006/relationships/hyperlink" Target="http://docs.aws.amazon.com/AWSCloudFormation/latest/UserGuide/aws-properties-ec2-instance-ssmassociations.html" TargetMode="External"/><Relationship Id="rId20" Type="http://schemas.openxmlformats.org/officeDocument/2006/relationships/hyperlink" Target="http://docs.aws.amazon.com/AWSCloudFormation/latest/UserGuide/aws-properties-ec2-blockdev-template.html" TargetMode="External"/><Relationship Id="rId41" Type="http://schemas.openxmlformats.org/officeDocument/2006/relationships/hyperlink" Target="http://docs.aws.amazon.com/AWSCloudFormation/latest/UserGuide/aws-properties-ec2-instance-elasticinferenceaccelerator.html" TargetMode="External"/><Relationship Id="rId62" Type="http://schemas.openxmlformats.org/officeDocument/2006/relationships/hyperlink" Target="http://docs.aws.amazon.com/AWSCloudFormation/latest/UserGuide/aws-properties-ec2-instance-launchtemplatespecification.html" TargetMode="External"/><Relationship Id="rId83" Type="http://schemas.openxmlformats.org/officeDocument/2006/relationships/hyperlink" Target="http://docs.aws.amazon.com/AWSCloudFormation/latest/UserGuide/aws-properties-ec2-network-interface-privateipspec.html" TargetMode="External"/><Relationship Id="rId88" Type="http://schemas.openxmlformats.org/officeDocument/2006/relationships/hyperlink" Target="http://docs.aws.amazon.com/AWSCloudFormation/latest/UserGuide/aws-properties-ec2-network-iface-embedded.html" TargetMode="External"/><Relationship Id="rId111" Type="http://schemas.openxmlformats.org/officeDocument/2006/relationships/hyperlink" Target="http://docs.aws.amazon.com/AWSCloudFormation/latest/UserGuide/aws-properties-ec2-instance-ssmassociations.html" TargetMode="External"/><Relationship Id="rId132" Type="http://schemas.openxmlformats.org/officeDocument/2006/relationships/hyperlink" Target="http://docs.aws.amazon.com/AWSCloudFormation/latest/UserGuide/aws-properties-ec2-mount-point.html" TargetMode="External"/><Relationship Id="rId15" Type="http://schemas.openxmlformats.org/officeDocument/2006/relationships/hyperlink" Target="http://docs.aws.amazon.com/AWSCloudFormation/latest/UserGuide/aws-properties-ec2-blockdev-mapping.html" TargetMode="External"/><Relationship Id="rId36" Type="http://schemas.openxmlformats.org/officeDocument/2006/relationships/hyperlink" Target="http://docs.aws.amazon.com/AWSCloudFormation/latest/UserGuide/aws-properties-ec2-instance-elasticgpuspecification.html" TargetMode="External"/><Relationship Id="rId57" Type="http://schemas.openxmlformats.org/officeDocument/2006/relationships/hyperlink" Target="http://docs.aws.amazon.com/AWSCloudFormation/latest/UserGuide/aws-properties-ec2-instance.html" TargetMode="External"/><Relationship Id="rId106" Type="http://schemas.openxmlformats.org/officeDocument/2006/relationships/hyperlink" Target="http://docs.aws.amazon.com/AWSCloudFormation/latest/UserGuide/aws-properties-ec2-instance.html" TargetMode="External"/><Relationship Id="rId127" Type="http://schemas.openxmlformats.org/officeDocument/2006/relationships/hyperlink" Target="http://docs.aws.amazon.com/AWSCloudFormation/latest/UserGuide/aws-properties-resource-tags.html" TargetMode="External"/><Relationship Id="rId10" Type="http://schemas.openxmlformats.org/officeDocument/2006/relationships/hyperlink" Target="http://docs.aws.amazon.com/AWSCloudFormation/latest/UserGuide/aws-properties-ec2-blockdev-template.html" TargetMode="External"/><Relationship Id="rId31" Type="http://schemas.openxmlformats.org/officeDocument/2006/relationships/hyperlink" Target="http://docs.aws.amazon.com/AWSCloudFormation/latest/UserGuide/aws-properties-ec2-instance.html" TargetMode="External"/><Relationship Id="rId52" Type="http://schemas.openxmlformats.org/officeDocument/2006/relationships/hyperlink" Target="http://docs.aws.amazon.com/AWSCloudFormation/latest/UserGuide/aws-properties-ec2-instance.html" TargetMode="External"/><Relationship Id="rId73" Type="http://schemas.openxmlformats.org/officeDocument/2006/relationships/hyperlink" Target="http://docs.aws.amazon.com/AWSCloudFormation/latest/UserGuide/aws-properties-ec2-network-iface-embedded.html" TargetMode="External"/><Relationship Id="rId78" Type="http://schemas.openxmlformats.org/officeDocument/2006/relationships/hyperlink" Target="http://docs.aws.amazon.com/AWSCloudFormation/latest/UserGuide/aws-properties-ec2-network-iface-embedded.html" TargetMode="External"/><Relationship Id="rId94" Type="http://schemas.openxmlformats.org/officeDocument/2006/relationships/hyperlink" Target="http://docs.aws.amazon.com/AWSCloudFormation/latest/UserGuide/aws-properties-ec2-instance-instanceipv6address.html" TargetMode="External"/><Relationship Id="rId99" Type="http://schemas.openxmlformats.org/officeDocument/2006/relationships/hyperlink" Target="http://docs.aws.amazon.com/AWSCloudFormation/latest/UserGuide/aws-properties-ec2-network-interface-privateipspec.html" TargetMode="External"/><Relationship Id="rId101" Type="http://schemas.openxmlformats.org/officeDocument/2006/relationships/hyperlink" Target="http://docs.aws.amazon.com/AWSCloudFormation/latest/UserGuide/aws-properties-ec2-network-interface-privateipspec.html" TargetMode="External"/><Relationship Id="rId122" Type="http://schemas.openxmlformats.org/officeDocument/2006/relationships/hyperlink" Target="http://docs.aws.amazon.com/AWSCloudFormation/latest/UserGuide/aws-properties-ec2-instance-ssmassociations.html" TargetMode="External"/><Relationship Id="rId4" Type="http://schemas.openxmlformats.org/officeDocument/2006/relationships/hyperlink" Target="http://docs.aws.amazon.com/AWSCloudFormation/latest/UserGuide/aws-properties-ec2-instance.html" TargetMode="External"/><Relationship Id="rId9" Type="http://schemas.openxmlformats.org/officeDocument/2006/relationships/hyperlink" Target="http://docs.aws.amazon.com/AWSCloudFormation/latest/UserGuide/aws-properties-ec2-blockdev-template.html" TargetMode="External"/><Relationship Id="rId26" Type="http://schemas.openxmlformats.org/officeDocument/2006/relationships/hyperlink" Target="http://docs.aws.amazon.com/AWSCloudFormation/latest/UserGuide/aws-properties-ec2-blockdev-mapping.html" TargetMode="External"/><Relationship Id="rId47" Type="http://schemas.openxmlformats.org/officeDocument/2006/relationships/hyperlink" Target="http://docs.aws.amazon.com/AWSCloudFormation/latest/UserGuide/aws-properties-ec2-instance.html" TargetMode="External"/><Relationship Id="rId68" Type="http://schemas.openxmlformats.org/officeDocument/2006/relationships/hyperlink" Target="http://docs.aws.amazon.com/AWSCloudFormation/latest/UserGuide/aws-properties-ec2-network-iface-embedded.html" TargetMode="External"/><Relationship Id="rId89" Type="http://schemas.openxmlformats.org/officeDocument/2006/relationships/hyperlink" Target="http://docs.aws.amazon.com/AWSCloudFormation/latest/UserGuide/aws-properties-ec2-network-iface-embedded.html" TargetMode="External"/><Relationship Id="rId112" Type="http://schemas.openxmlformats.org/officeDocument/2006/relationships/hyperlink" Target="http://docs.aws.amazon.com/AWSCloudFormation/latest/UserGuide/aws-properties-ec2-instance-ssmassociations-associationparameters.html" TargetMode="External"/><Relationship Id="rId133" Type="http://schemas.openxmlformats.org/officeDocument/2006/relationships/hyperlink" Target="http://docs.aws.amazon.com/AWSCloudFormation/latest/UserGuide/aws-properties-ec2-mount-poin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E151"/>
  <sheetViews>
    <sheetView zoomScaleNormal="100" workbookViewId="0">
      <selection activeCell="B46" sqref="B46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1" spans="2:31">
      <c r="B1" t="s">
        <v>140</v>
      </c>
    </row>
    <row r="2" spans="2:31">
      <c r="D2" t="s">
        <v>112</v>
      </c>
    </row>
    <row r="3" spans="2:31">
      <c r="D3" t="s">
        <v>111</v>
      </c>
      <c r="O3" t="s">
        <v>89</v>
      </c>
      <c r="AB3" t="s">
        <v>87</v>
      </c>
    </row>
    <row r="4" spans="2:31">
      <c r="D4" t="s">
        <v>110</v>
      </c>
      <c r="N4" s="7" t="s">
        <v>83</v>
      </c>
      <c r="O4" s="7" t="s">
        <v>91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 t="s">
        <v>85</v>
      </c>
      <c r="AC4" s="7" t="s">
        <v>135</v>
      </c>
      <c r="AD4" s="7" t="s">
        <v>136</v>
      </c>
      <c r="AE4" s="7" t="s">
        <v>86</v>
      </c>
    </row>
    <row r="5" spans="2:31">
      <c r="B5" s="7" t="s">
        <v>88</v>
      </c>
      <c r="N5" s="6">
        <f>ROW()-4</f>
        <v>1</v>
      </c>
      <c r="P5" s="1" t="s">
        <v>81</v>
      </c>
      <c r="Q5" s="1"/>
      <c r="R5" s="1"/>
      <c r="S5" s="1"/>
      <c r="T5" s="1"/>
      <c r="U5" s="1"/>
      <c r="V5" s="1"/>
      <c r="W5" s="1"/>
      <c r="X5" s="1"/>
      <c r="Y5" s="1"/>
      <c r="Z5" s="1" t="s">
        <v>82</v>
      </c>
      <c r="AA5" s="1" t="s">
        <v>84</v>
      </c>
      <c r="AB5" s="1"/>
      <c r="AC5" s="1"/>
      <c r="AD5" s="1"/>
      <c r="AE5" s="1"/>
    </row>
    <row r="6" spans="2:31">
      <c r="B6" s="6" t="s">
        <v>287</v>
      </c>
      <c r="D6" t="s">
        <v>109</v>
      </c>
      <c r="N6" s="6">
        <f t="shared" ref="N6:N68" si="0">ROW()-4</f>
        <v>2</v>
      </c>
      <c r="P6" s="1"/>
      <c r="Q6" t="s">
        <v>3</v>
      </c>
    </row>
    <row r="7" spans="2:31">
      <c r="B7" s="10"/>
      <c r="D7" t="s">
        <v>92</v>
      </c>
      <c r="N7" s="6">
        <f t="shared" si="0"/>
        <v>3</v>
      </c>
      <c r="P7" s="1"/>
      <c r="Q7" t="s">
        <v>90</v>
      </c>
    </row>
    <row r="8" spans="2:31">
      <c r="B8" s="7" t="s">
        <v>139</v>
      </c>
      <c r="D8" t="s">
        <v>93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9" t="s">
        <v>288</v>
      </c>
      <c r="N9" s="6">
        <f t="shared" si="0"/>
        <v>5</v>
      </c>
      <c r="P9" s="1"/>
      <c r="Q9" s="2"/>
      <c r="R9" t="s">
        <v>4</v>
      </c>
    </row>
    <row r="10" spans="2:31">
      <c r="D10" t="s">
        <v>98</v>
      </c>
      <c r="N10" s="6">
        <f t="shared" si="0"/>
        <v>6</v>
      </c>
      <c r="P10" s="1"/>
      <c r="Q10" s="2"/>
      <c r="R10" t="s">
        <v>5</v>
      </c>
    </row>
    <row r="11" spans="2:31">
      <c r="B11" s="7" t="s">
        <v>0</v>
      </c>
      <c r="D11" t="s">
        <v>95</v>
      </c>
      <c r="N11" s="6">
        <f t="shared" si="0"/>
        <v>7</v>
      </c>
      <c r="P11" s="1"/>
      <c r="Q11" s="2"/>
      <c r="R11" t="s">
        <v>6</v>
      </c>
    </row>
    <row r="12" spans="2:31">
      <c r="B12" s="9" t="s">
        <v>115</v>
      </c>
      <c r="D12" t="s">
        <v>96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9" t="s">
        <v>116</v>
      </c>
      <c r="D13" t="s">
        <v>97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9" t="s">
        <v>117</v>
      </c>
      <c r="D14" t="s">
        <v>99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9" t="s">
        <v>279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9" t="s">
        <v>280</v>
      </c>
      <c r="D16" t="s">
        <v>101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9" t="s">
        <v>118</v>
      </c>
      <c r="D17" t="s">
        <v>100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9" t="s">
        <v>281</v>
      </c>
      <c r="D18" t="s">
        <v>105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9" t="s">
        <v>282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9" t="s">
        <v>119</v>
      </c>
      <c r="D20" t="s">
        <v>103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9" t="s">
        <v>120</v>
      </c>
      <c r="D21" t="s">
        <v>102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9" t="s">
        <v>121</v>
      </c>
      <c r="D22" t="s">
        <v>104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9" t="s">
        <v>123</v>
      </c>
      <c r="D23" t="s">
        <v>106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9" t="s">
        <v>124</v>
      </c>
      <c r="D24" t="s">
        <v>107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9" t="s">
        <v>125</v>
      </c>
      <c r="D25" t="s">
        <v>108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9" t="s">
        <v>262</v>
      </c>
      <c r="D26" t="s">
        <v>94</v>
      </c>
      <c r="N26" s="6">
        <f t="shared" si="0"/>
        <v>22</v>
      </c>
      <c r="P26" s="1"/>
      <c r="Q26" s="2"/>
      <c r="U26" t="s">
        <v>10</v>
      </c>
    </row>
    <row r="27" spans="2:21">
      <c r="B27" s="9" t="s">
        <v>122</v>
      </c>
      <c r="N27" s="6">
        <f t="shared" si="0"/>
        <v>23</v>
      </c>
      <c r="P27" s="1"/>
      <c r="U27" t="s">
        <v>11</v>
      </c>
    </row>
    <row r="28" spans="2:21">
      <c r="B28" s="9" t="s">
        <v>278</v>
      </c>
      <c r="N28" s="6">
        <f t="shared" si="0"/>
        <v>24</v>
      </c>
      <c r="U28" t="s">
        <v>12</v>
      </c>
    </row>
    <row r="29" spans="2:21">
      <c r="B29" s="9" t="s">
        <v>277</v>
      </c>
      <c r="N29" s="6">
        <f t="shared" si="0"/>
        <v>25</v>
      </c>
      <c r="U29" t="s">
        <v>13</v>
      </c>
    </row>
    <row r="30" spans="2:21">
      <c r="B30" s="9" t="s">
        <v>284</v>
      </c>
    </row>
    <row r="31" spans="2:21">
      <c r="B31" s="9" t="s">
        <v>285</v>
      </c>
      <c r="N31" s="6">
        <f t="shared" si="0"/>
        <v>27</v>
      </c>
      <c r="U31" t="s">
        <v>15</v>
      </c>
    </row>
    <row r="32" spans="2:21">
      <c r="B32" s="9" t="s">
        <v>286</v>
      </c>
      <c r="N32" s="6">
        <f t="shared" si="0"/>
        <v>28</v>
      </c>
      <c r="U32" t="s">
        <v>16</v>
      </c>
    </row>
    <row r="33" spans="2:21">
      <c r="B33" s="9" t="s">
        <v>283</v>
      </c>
      <c r="N33" s="6">
        <f t="shared" si="0"/>
        <v>29</v>
      </c>
      <c r="U33" t="s">
        <v>17</v>
      </c>
    </row>
    <row r="34" spans="2:21">
      <c r="B34" s="9" t="s">
        <v>263</v>
      </c>
      <c r="N34" s="6">
        <f t="shared" si="0"/>
        <v>30</v>
      </c>
      <c r="T34" t="s">
        <v>18</v>
      </c>
    </row>
    <row r="35" spans="2:21">
      <c r="B35" s="9"/>
      <c r="N35" s="6">
        <f t="shared" si="0"/>
        <v>31</v>
      </c>
      <c r="U35" t="s">
        <v>14</v>
      </c>
    </row>
    <row r="36" spans="2:21">
      <c r="B36" s="9"/>
      <c r="N36" s="6">
        <f t="shared" si="0"/>
        <v>32</v>
      </c>
      <c r="S36" t="s">
        <v>20</v>
      </c>
    </row>
    <row r="37" spans="2:21">
      <c r="B37" s="9"/>
      <c r="N37" s="6">
        <f t="shared" si="0"/>
        <v>33</v>
      </c>
      <c r="R37" t="s">
        <v>21</v>
      </c>
    </row>
    <row r="38" spans="2:21">
      <c r="B38" s="9"/>
      <c r="N38" s="6">
        <f t="shared" si="0"/>
        <v>34</v>
      </c>
      <c r="S38" t="s">
        <v>22</v>
      </c>
    </row>
    <row r="39" spans="2:21">
      <c r="B39" s="9"/>
      <c r="N39" s="6">
        <f t="shared" si="0"/>
        <v>35</v>
      </c>
      <c r="R39" t="s">
        <v>23</v>
      </c>
    </row>
    <row r="40" spans="2:21">
      <c r="B40" s="9"/>
      <c r="N40" s="6">
        <f t="shared" si="0"/>
        <v>36</v>
      </c>
      <c r="R40" t="s">
        <v>24</v>
      </c>
    </row>
    <row r="41" spans="2:21">
      <c r="B41" s="9"/>
      <c r="N41" s="6">
        <f t="shared" si="0"/>
        <v>37</v>
      </c>
      <c r="R41" t="s">
        <v>25</v>
      </c>
    </row>
    <row r="42" spans="2:21">
      <c r="B42" s="9"/>
      <c r="N42" s="6">
        <f t="shared" si="0"/>
        <v>38</v>
      </c>
      <c r="S42" t="s">
        <v>26</v>
      </c>
    </row>
    <row r="43" spans="2:21">
      <c r="B43" s="9"/>
      <c r="N43" s="6">
        <f t="shared" si="0"/>
        <v>39</v>
      </c>
      <c r="S43" t="s">
        <v>26</v>
      </c>
    </row>
    <row r="44" spans="2:21">
      <c r="B44" s="9"/>
      <c r="N44" s="6">
        <f t="shared" si="0"/>
        <v>40</v>
      </c>
      <c r="R44" t="s">
        <v>27</v>
      </c>
    </row>
    <row r="45" spans="2:21">
      <c r="B45" s="9"/>
      <c r="N45" s="6">
        <f t="shared" si="0"/>
        <v>41</v>
      </c>
      <c r="S45" t="e">
        <f>- Count: Integer</f>
        <v>#NAME?</v>
      </c>
    </row>
    <row r="46" spans="2:21">
      <c r="B46" s="9"/>
      <c r="N46" s="6">
        <f t="shared" si="0"/>
        <v>42</v>
      </c>
      <c r="T46" t="s">
        <v>28</v>
      </c>
    </row>
    <row r="47" spans="2:21">
      <c r="B47" s="9"/>
      <c r="N47" s="6">
        <f t="shared" si="0"/>
        <v>43</v>
      </c>
      <c r="S47" t="e">
        <f>- Count: Integer</f>
        <v>#NAME?</v>
      </c>
    </row>
    <row r="48" spans="2:21">
      <c r="B48" s="9"/>
      <c r="N48" s="6">
        <f t="shared" si="0"/>
        <v>44</v>
      </c>
      <c r="T48" t="s">
        <v>28</v>
      </c>
    </row>
    <row r="49" spans="2:19">
      <c r="B49" s="9"/>
      <c r="N49" s="6">
        <f t="shared" si="0"/>
        <v>45</v>
      </c>
      <c r="R49" t="s">
        <v>29</v>
      </c>
    </row>
    <row r="50" spans="2:19">
      <c r="B50" s="9"/>
      <c r="N50" s="6">
        <f t="shared" si="0"/>
        <v>46</v>
      </c>
      <c r="S50" t="s">
        <v>30</v>
      </c>
    </row>
    <row r="51" spans="2:19">
      <c r="B51" s="9"/>
      <c r="N51" s="6">
        <f t="shared" si="0"/>
        <v>47</v>
      </c>
      <c r="R51" t="s">
        <v>31</v>
      </c>
    </row>
    <row r="52" spans="2:19">
      <c r="B52" s="9"/>
      <c r="N52" s="6">
        <f t="shared" si="0"/>
        <v>48</v>
      </c>
      <c r="R52" t="s">
        <v>32</v>
      </c>
    </row>
    <row r="53" spans="2:19">
      <c r="N53" s="6">
        <f t="shared" si="0"/>
        <v>49</v>
      </c>
      <c r="R53" t="s">
        <v>33</v>
      </c>
    </row>
    <row r="54" spans="2:19">
      <c r="N54" s="6">
        <f t="shared" si="0"/>
        <v>50</v>
      </c>
      <c r="R54" t="s">
        <v>34</v>
      </c>
    </row>
    <row r="55" spans="2:19">
      <c r="N55" s="6">
        <f t="shared" si="0"/>
        <v>51</v>
      </c>
      <c r="R55" t="s">
        <v>35</v>
      </c>
    </row>
    <row r="56" spans="2:19">
      <c r="N56" s="6">
        <f t="shared" si="0"/>
        <v>52</v>
      </c>
      <c r="R56" t="s">
        <v>36</v>
      </c>
    </row>
    <row r="57" spans="2:19">
      <c r="N57" s="6">
        <f t="shared" si="0"/>
        <v>53</v>
      </c>
      <c r="R57" t="s">
        <v>37</v>
      </c>
    </row>
    <row r="58" spans="2:19">
      <c r="N58" s="6">
        <f t="shared" si="0"/>
        <v>54</v>
      </c>
      <c r="R58" t="s">
        <v>38</v>
      </c>
    </row>
    <row r="59" spans="2:19">
      <c r="N59" s="6">
        <f t="shared" si="0"/>
        <v>55</v>
      </c>
      <c r="S59" t="s">
        <v>39</v>
      </c>
    </row>
    <row r="60" spans="2:19">
      <c r="N60" s="6">
        <f t="shared" si="0"/>
        <v>56</v>
      </c>
      <c r="S60" t="s">
        <v>39</v>
      </c>
    </row>
    <row r="61" spans="2:19">
      <c r="N61" s="6">
        <f t="shared" si="0"/>
        <v>57</v>
      </c>
      <c r="R61" t="s">
        <v>40</v>
      </c>
    </row>
    <row r="62" spans="2:19">
      <c r="N62" s="6">
        <f t="shared" si="0"/>
        <v>58</v>
      </c>
      <c r="R62" t="s">
        <v>41</v>
      </c>
    </row>
    <row r="63" spans="2:19">
      <c r="N63" s="6">
        <f t="shared" si="0"/>
        <v>59</v>
      </c>
      <c r="R63" t="s">
        <v>42</v>
      </c>
    </row>
    <row r="64" spans="2:19">
      <c r="N64" s="6">
        <f t="shared" si="0"/>
        <v>60</v>
      </c>
      <c r="S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R67" t="s">
        <v>46</v>
      </c>
    </row>
    <row r="68" spans="14:21">
      <c r="N68" s="6">
        <f t="shared" si="0"/>
        <v>64</v>
      </c>
      <c r="S68" t="s">
        <v>47</v>
      </c>
    </row>
    <row r="69" spans="14:21">
      <c r="N69" s="6">
        <f t="shared" ref="N69:N77" si="1">ROW()-4</f>
        <v>65</v>
      </c>
      <c r="S69" t="s">
        <v>47</v>
      </c>
    </row>
    <row r="70" spans="14:21">
      <c r="N70" s="6">
        <f t="shared" si="1"/>
        <v>66</v>
      </c>
      <c r="R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S72" t="e">
        <f>- DeleteOnTermination: Boolean</f>
        <v>#NAME?</v>
      </c>
    </row>
    <row r="73" spans="14:21">
      <c r="N73" s="6">
        <f t="shared" si="1"/>
        <v>69</v>
      </c>
      <c r="T73" t="s">
        <v>50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U77" t="s">
        <v>54</v>
      </c>
    </row>
    <row r="78" spans="14:21">
      <c r="U78" t="s">
        <v>54</v>
      </c>
    </row>
    <row r="79" spans="14:21">
      <c r="T79" t="s">
        <v>37</v>
      </c>
    </row>
    <row r="80" spans="14:21">
      <c r="T80" t="s">
        <v>38</v>
      </c>
    </row>
    <row r="81" spans="19:22">
      <c r="U81" t="s">
        <v>55</v>
      </c>
      <c r="V81" t="s">
        <v>56</v>
      </c>
    </row>
    <row r="82" spans="19:22">
      <c r="U82" t="s">
        <v>55</v>
      </c>
      <c r="V82" t="s">
        <v>56</v>
      </c>
    </row>
    <row r="83" spans="19:22">
      <c r="T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U86" t="e">
        <f>- Primary: Boolean</f>
        <v>#NAME?</v>
      </c>
    </row>
    <row r="87" spans="19:22">
      <c r="V87" t="s">
        <v>58</v>
      </c>
    </row>
    <row r="88" spans="19:22">
      <c r="U88" t="e">
        <f>- Primary: Boolean</f>
        <v>#NAME?</v>
      </c>
    </row>
    <row r="89" spans="19:22">
      <c r="V89" t="s">
        <v>58</v>
      </c>
    </row>
    <row r="90" spans="19:22">
      <c r="T90" t="s">
        <v>60</v>
      </c>
    </row>
    <row r="91" spans="19:22">
      <c r="T91" t="s">
        <v>61</v>
      </c>
    </row>
    <row r="92" spans="19:22">
      <c r="S92" t="e">
        <f>- DeleteOnTermination: Boolean</f>
        <v>#NAME?</v>
      </c>
    </row>
    <row r="93" spans="19:22">
      <c r="T93" t="s">
        <v>50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18:22">
      <c r="U97" t="s">
        <v>54</v>
      </c>
    </row>
    <row r="98" spans="18:22">
      <c r="U98" t="s">
        <v>54</v>
      </c>
    </row>
    <row r="99" spans="18:22">
      <c r="T99" t="s">
        <v>37</v>
      </c>
    </row>
    <row r="100" spans="18:22">
      <c r="T100" t="s">
        <v>38</v>
      </c>
    </row>
    <row r="101" spans="18:22">
      <c r="U101" t="s">
        <v>55</v>
      </c>
      <c r="V101" t="s">
        <v>56</v>
      </c>
    </row>
    <row r="102" spans="18:22">
      <c r="U102" t="s">
        <v>55</v>
      </c>
      <c r="V102" t="s">
        <v>56</v>
      </c>
    </row>
    <row r="103" spans="18:22">
      <c r="T103" t="s">
        <v>57</v>
      </c>
    </row>
    <row r="104" spans="18:22">
      <c r="T104" t="s">
        <v>58</v>
      </c>
    </row>
    <row r="105" spans="18:22">
      <c r="T105" t="s">
        <v>59</v>
      </c>
    </row>
    <row r="106" spans="18:22">
      <c r="U106" t="e">
        <f>- Primary: Boolean</f>
        <v>#NAME?</v>
      </c>
    </row>
    <row r="107" spans="18:22">
      <c r="V107" t="s">
        <v>58</v>
      </c>
    </row>
    <row r="108" spans="18:22">
      <c r="U108" t="e">
        <f>- Primary: Boolean</f>
        <v>#NAME?</v>
      </c>
    </row>
    <row r="109" spans="18:22">
      <c r="V109" t="s">
        <v>58</v>
      </c>
    </row>
    <row r="110" spans="18:22">
      <c r="T110" t="s">
        <v>60</v>
      </c>
    </row>
    <row r="111" spans="18:22">
      <c r="T111" t="s">
        <v>61</v>
      </c>
    </row>
    <row r="112" spans="18:22">
      <c r="R112" t="s">
        <v>62</v>
      </c>
    </row>
    <row r="113" spans="18:21">
      <c r="R113" t="s">
        <v>58</v>
      </c>
    </row>
    <row r="114" spans="18:21">
      <c r="R114" t="s">
        <v>63</v>
      </c>
    </row>
    <row r="115" spans="18:21">
      <c r="R115" t="s">
        <v>64</v>
      </c>
    </row>
    <row r="116" spans="18:21">
      <c r="S116" t="s">
        <v>54</v>
      </c>
    </row>
    <row r="117" spans="18:21">
      <c r="S117" t="s">
        <v>54</v>
      </c>
    </row>
    <row r="118" spans="18:21">
      <c r="R118" t="s">
        <v>65</v>
      </c>
    </row>
    <row r="119" spans="18:21">
      <c r="S119" t="s">
        <v>54</v>
      </c>
    </row>
    <row r="120" spans="18:21">
      <c r="S120" t="s">
        <v>54</v>
      </c>
    </row>
    <row r="121" spans="18:21">
      <c r="R121" t="s">
        <v>66</v>
      </c>
    </row>
    <row r="122" spans="18:21">
      <c r="R122" t="s">
        <v>67</v>
      </c>
    </row>
    <row r="123" spans="18:21">
      <c r="S123" t="s">
        <v>68</v>
      </c>
    </row>
    <row r="124" spans="18:21">
      <c r="T124" t="s">
        <v>69</v>
      </c>
    </row>
    <row r="125" spans="18:21">
      <c r="T125" t="s">
        <v>70</v>
      </c>
    </row>
    <row r="126" spans="18:21">
      <c r="U126" t="s">
        <v>54</v>
      </c>
    </row>
    <row r="127" spans="18:21">
      <c r="U127" t="s">
        <v>54</v>
      </c>
    </row>
    <row r="128" spans="18:21">
      <c r="T128" t="s">
        <v>71</v>
      </c>
    </row>
    <row r="129" spans="18:21">
      <c r="S129" t="s">
        <v>68</v>
      </c>
    </row>
    <row r="130" spans="18:21">
      <c r="T130" t="s">
        <v>69</v>
      </c>
    </row>
    <row r="131" spans="18:21">
      <c r="T131" t="s">
        <v>70</v>
      </c>
    </row>
    <row r="132" spans="18:21">
      <c r="U132" t="s">
        <v>54</v>
      </c>
    </row>
    <row r="133" spans="18:21">
      <c r="U133" t="s">
        <v>54</v>
      </c>
    </row>
    <row r="134" spans="18:21">
      <c r="T134" t="s">
        <v>71</v>
      </c>
    </row>
    <row r="135" spans="18:21">
      <c r="R135" t="s">
        <v>61</v>
      </c>
    </row>
    <row r="136" spans="18:21">
      <c r="R136" t="s">
        <v>2</v>
      </c>
    </row>
    <row r="137" spans="18:21">
      <c r="R137" t="e">
        <f>- Key: Name</f>
        <v>#NAME?</v>
      </c>
    </row>
    <row r="138" spans="18:21">
      <c r="S138" t="s">
        <v>72</v>
      </c>
    </row>
    <row r="139" spans="18:21">
      <c r="R139" t="e">
        <f>- Key: CloudFormation File</f>
        <v>#NAME?</v>
      </c>
    </row>
    <row r="140" spans="18:21">
      <c r="S140" t="s">
        <v>73</v>
      </c>
    </row>
    <row r="141" spans="18:21">
      <c r="R141" t="s">
        <v>74</v>
      </c>
    </row>
    <row r="142" spans="18:21">
      <c r="S142" t="s">
        <v>75</v>
      </c>
    </row>
    <row r="143" spans="18:21">
      <c r="R143" t="s">
        <v>74</v>
      </c>
    </row>
    <row r="144" spans="18:21">
      <c r="S144" t="s">
        <v>75</v>
      </c>
    </row>
    <row r="145" spans="18:20">
      <c r="R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T149" t="s">
        <v>80</v>
      </c>
    </row>
    <row r="150" spans="18:20">
      <c r="R150" t="s">
        <v>79</v>
      </c>
    </row>
    <row r="151" spans="18:20">
      <c r="T151" t="s">
        <v>80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26"/>
  <sheetViews>
    <sheetView tabSelected="1" workbookViewId="0">
      <selection activeCell="E15" sqref="E15"/>
    </sheetView>
  </sheetViews>
  <sheetFormatPr defaultRowHeight="18.75"/>
  <cols>
    <col min="1" max="2" width="4.75" style="8" customWidth="1"/>
    <col min="3" max="3" width="22" style="8" bestFit="1" customWidth="1"/>
    <col min="4" max="4" width="19.875" style="8" customWidth="1"/>
    <col min="5" max="5" width="102.125" style="8" customWidth="1"/>
    <col min="6" max="16384" width="9" style="8"/>
  </cols>
  <sheetData>
    <row r="2" spans="3:5" hidden="1"/>
    <row r="3" spans="3:5" hidden="1"/>
    <row r="4" spans="3:5" hidden="1"/>
    <row r="5" spans="3:5" hidden="1"/>
    <row r="8" spans="3:5">
      <c r="C8" s="7" t="s">
        <v>126</v>
      </c>
      <c r="D8" s="7" t="s">
        <v>127</v>
      </c>
      <c r="E8" s="7" t="s">
        <v>128</v>
      </c>
    </row>
    <row r="9" spans="3:5" ht="93.75">
      <c r="C9" s="11" t="s">
        <v>138</v>
      </c>
      <c r="D9" s="12" t="s">
        <v>129</v>
      </c>
      <c r="E9" s="13" t="s">
        <v>130</v>
      </c>
    </row>
    <row r="10" spans="3:5">
      <c r="C10" s="9" t="s">
        <v>131</v>
      </c>
      <c r="D10" s="9" t="s">
        <v>134</v>
      </c>
      <c r="E10" s="9" t="s">
        <v>132</v>
      </c>
    </row>
    <row r="11" spans="3:5">
      <c r="C11" s="9" t="s">
        <v>133</v>
      </c>
      <c r="D11" s="9" t="s">
        <v>342</v>
      </c>
      <c r="E11" s="9" t="s">
        <v>341</v>
      </c>
    </row>
    <row r="12" spans="3:5">
      <c r="C12" s="9" t="s">
        <v>336</v>
      </c>
      <c r="D12" s="9" t="s">
        <v>269</v>
      </c>
      <c r="E12" s="9" t="s">
        <v>343</v>
      </c>
    </row>
    <row r="13" spans="3:5">
      <c r="C13" s="9" t="s">
        <v>337</v>
      </c>
      <c r="D13" s="9" t="s">
        <v>345</v>
      </c>
      <c r="E13" s="9" t="s">
        <v>137</v>
      </c>
    </row>
    <row r="14" spans="3:5">
      <c r="C14" s="9" t="s">
        <v>374</v>
      </c>
      <c r="D14" s="9" t="s">
        <v>344</v>
      </c>
      <c r="E14" s="9" t="s">
        <v>375</v>
      </c>
    </row>
    <row r="15" spans="3:5">
      <c r="C15" s="9" t="s">
        <v>338</v>
      </c>
      <c r="D15" s="9" t="s">
        <v>346</v>
      </c>
      <c r="E15" s="9"/>
    </row>
    <row r="16" spans="3:5">
      <c r="C16" s="9" t="s">
        <v>339</v>
      </c>
      <c r="D16" s="9" t="s">
        <v>347</v>
      </c>
      <c r="E16" s="9" t="str">
        <f>$D$12</f>
        <v>ap-northeast-1a</v>
      </c>
    </row>
    <row r="17" spans="3:5">
      <c r="C17" s="9" t="s">
        <v>376</v>
      </c>
      <c r="D17" s="9" t="s">
        <v>348</v>
      </c>
      <c r="E17" s="9" t="str">
        <f>$D$13</f>
        <v>ap-northeast-1d</v>
      </c>
    </row>
    <row r="18" spans="3:5">
      <c r="C18" s="9" t="s">
        <v>377</v>
      </c>
      <c r="D18" s="9" t="s">
        <v>349</v>
      </c>
      <c r="E18" s="9" t="str">
        <f>$D$14</f>
        <v>ap-northeast-1c</v>
      </c>
    </row>
    <row r="19" spans="3:5">
      <c r="C19" s="9" t="s">
        <v>340</v>
      </c>
      <c r="D19" s="9" t="s">
        <v>350</v>
      </c>
      <c r="E19" s="9" t="str">
        <f>$D$12</f>
        <v>ap-northeast-1a</v>
      </c>
    </row>
    <row r="20" spans="3:5">
      <c r="C20" s="9" t="s">
        <v>378</v>
      </c>
      <c r="D20" s="9" t="s">
        <v>351</v>
      </c>
      <c r="E20" s="9" t="str">
        <f>$D$13</f>
        <v>ap-northeast-1d</v>
      </c>
    </row>
    <row r="21" spans="3:5">
      <c r="C21" s="9" t="s">
        <v>379</v>
      </c>
      <c r="D21" s="9" t="s">
        <v>352</v>
      </c>
      <c r="E21" s="9" t="str">
        <f>$D$14</f>
        <v>ap-northeast-1c</v>
      </c>
    </row>
    <row r="22" spans="3:5">
      <c r="C22" s="9"/>
      <c r="D22" s="9"/>
      <c r="E22" s="9"/>
    </row>
    <row r="23" spans="3:5">
      <c r="C23" s="9"/>
      <c r="D23" s="9"/>
      <c r="E23" s="9"/>
    </row>
    <row r="24" spans="3:5">
      <c r="C24" s="9"/>
      <c r="D24" s="9"/>
      <c r="E24" s="9"/>
    </row>
    <row r="25" spans="3:5">
      <c r="C25" s="9"/>
      <c r="D25" s="9"/>
      <c r="E25" s="9"/>
    </row>
    <row r="26" spans="3:5">
      <c r="C26" s="9"/>
      <c r="D26" s="9"/>
      <c r="E26" s="9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276225</xdr:colOff>
                    <xdr:row>0</xdr:row>
                    <xdr:rowOff>152400</xdr:rowOff>
                  </from>
                  <to>
                    <xdr:col>3</xdr:col>
                    <xdr:colOff>1047750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>
      <selection activeCell="B22" sqref="B3:C22"/>
    </sheetView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7" t="s">
        <v>113</v>
      </c>
      <c r="C2" s="7" t="s">
        <v>114</v>
      </c>
    </row>
    <row r="3" spans="2:3">
      <c r="B3" s="6"/>
      <c r="C3" s="6"/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>
      <selection activeCell="C19" sqref="C19"/>
    </sheetView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7" t="s">
        <v>113</v>
      </c>
      <c r="C2" s="7" t="s">
        <v>114</v>
      </c>
    </row>
    <row r="3" spans="2:3">
      <c r="B3" s="6"/>
      <c r="C3" s="6"/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3189B-6029-45BD-BE72-3C2EA5FDCEC8}">
  <sheetPr codeName="Sheet122"/>
  <dimension ref="A1:V14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  <col min="23" max="24" width="9.375" bestFit="1" customWidth="1"/>
  </cols>
  <sheetData>
    <row r="1" spans="1:22">
      <c r="A1" s="14" t="s">
        <v>141</v>
      </c>
    </row>
    <row r="2" spans="1:22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</row>
    <row r="3" spans="1:22">
      <c r="B3" s="34">
        <f t="shared" ref="B3:B14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</f>
        <v>mirai-VPC</v>
      </c>
    </row>
    <row r="4" spans="1:22">
      <c r="B4" s="34">
        <f t="shared" si="0"/>
        <v>2</v>
      </c>
      <c r="C4" s="18"/>
      <c r="D4" s="23"/>
      <c r="E4" s="37" t="s">
        <v>145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</row>
    <row r="5" spans="1:22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</row>
    <row r="6" spans="1:22">
      <c r="B6" s="34">
        <f t="shared" si="0"/>
        <v>4</v>
      </c>
      <c r="C6" s="18"/>
      <c r="D6" s="23"/>
      <c r="E6" s="19"/>
      <c r="F6" s="35" t="s">
        <v>148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 t="str">
        <f>Setting!$D$15</f>
        <v>192.168.128.0/24</v>
      </c>
    </row>
    <row r="7" spans="1:22">
      <c r="B7" s="34">
        <f t="shared" si="0"/>
        <v>5</v>
      </c>
      <c r="C7" s="18"/>
      <c r="D7" s="23"/>
      <c r="E7" s="19"/>
      <c r="F7" s="35" t="s">
        <v>149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150</v>
      </c>
      <c r="T7" s="36" t="s">
        <v>147</v>
      </c>
      <c r="U7" s="9"/>
      <c r="V7" s="17" t="s">
        <v>212</v>
      </c>
    </row>
    <row r="8" spans="1:22">
      <c r="B8" s="34">
        <f t="shared" si="0"/>
        <v>6</v>
      </c>
      <c r="C8" s="18"/>
      <c r="D8" s="23"/>
      <c r="E8" s="19"/>
      <c r="F8" s="35" t="s">
        <v>151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150</v>
      </c>
      <c r="T8" s="36" t="s">
        <v>147</v>
      </c>
      <c r="U8" s="9"/>
      <c r="V8" s="17" t="s">
        <v>212</v>
      </c>
    </row>
    <row r="9" spans="1:22">
      <c r="B9" s="34">
        <f t="shared" si="0"/>
        <v>7</v>
      </c>
      <c r="C9" s="18"/>
      <c r="D9" s="23"/>
      <c r="E9" s="19"/>
      <c r="F9" s="35" t="s">
        <v>152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36" t="s">
        <v>147</v>
      </c>
      <c r="U9" s="9"/>
      <c r="V9" s="9" t="s">
        <v>213</v>
      </c>
    </row>
    <row r="10" spans="1:22">
      <c r="B10" s="34">
        <f t="shared" si="0"/>
        <v>8</v>
      </c>
      <c r="C10" s="18"/>
      <c r="D10" s="23"/>
      <c r="E10" s="19"/>
      <c r="F10" s="40" t="s">
        <v>2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5"/>
      <c r="S10" s="41" t="s">
        <v>146</v>
      </c>
      <c r="T10" s="42" t="s">
        <v>147</v>
      </c>
      <c r="U10" s="26"/>
      <c r="V10" s="26"/>
    </row>
    <row r="11" spans="1:22">
      <c r="B11" s="34">
        <f t="shared" si="0"/>
        <v>9</v>
      </c>
      <c r="C11" s="18"/>
      <c r="D11" s="23"/>
      <c r="E11" s="19"/>
      <c r="F11" s="24"/>
      <c r="G11" s="50" t="s">
        <v>153</v>
      </c>
      <c r="H11" s="35" t="s">
        <v>154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/>
    </row>
    <row r="12" spans="1:22">
      <c r="B12" s="34">
        <f t="shared" si="0"/>
        <v>10</v>
      </c>
      <c r="C12" s="18"/>
      <c r="D12" s="23"/>
      <c r="E12" s="19"/>
      <c r="F12" s="24"/>
      <c r="G12" s="15"/>
      <c r="H12" s="35" t="s">
        <v>70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36" t="s">
        <v>147</v>
      </c>
      <c r="U12" s="9"/>
      <c r="V12" s="9"/>
    </row>
    <row r="13" spans="1:22">
      <c r="B13" s="34">
        <f t="shared" si="0"/>
        <v>11</v>
      </c>
      <c r="C13" s="18"/>
      <c r="D13" s="23"/>
      <c r="E13" s="19"/>
      <c r="F13" s="24"/>
      <c r="G13" s="50" t="s">
        <v>153</v>
      </c>
      <c r="H13" s="35" t="s">
        <v>154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4" t="s">
        <v>143</v>
      </c>
      <c r="T13" s="36" t="s">
        <v>147</v>
      </c>
      <c r="U13" s="9"/>
      <c r="V13" s="9"/>
    </row>
    <row r="14" spans="1:22">
      <c r="B14" s="34">
        <f t="shared" si="0"/>
        <v>12</v>
      </c>
      <c r="C14" s="18"/>
      <c r="D14" s="23"/>
      <c r="E14" s="19"/>
      <c r="F14" s="24"/>
      <c r="G14" s="15"/>
      <c r="H14" s="35" t="s">
        <v>70</v>
      </c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4" t="s">
        <v>143</v>
      </c>
      <c r="T14" s="36" t="s">
        <v>147</v>
      </c>
      <c r="U14" s="9"/>
      <c r="V14" s="9"/>
    </row>
  </sheetData>
  <phoneticPr fontId="1"/>
  <hyperlinks>
    <hyperlink ref="T4" r:id="rId1" tooltip="http://docs.aws.amazon.com/AWSCloudFormation/latest/UserGuide/aws-resource-ec2-vpc.html" xr:uid="{49561F0F-BFA0-49DF-AC01-F7ACF6D185A4}"/>
    <hyperlink ref="T6" r:id="rId2" location="cfn-aws-ec2-vpc-cidrblock" tooltip="http://docs.aws.amazon.com/AWSCloudFormation/latest/UserGuide/aws-resource-ec2-vpc.html#cfn-aws-ec2-vpc-cidrblock" xr:uid="{E278C1B3-B5C5-4714-93A5-8386765A90FC}"/>
    <hyperlink ref="T7" r:id="rId3" location="cfn-aws-ec2-vpc-EnableDnsHostnames" tooltip="http://docs.aws.amazon.com/AWSCloudFormation/latest/UserGuide/aws-resource-ec2-vpc.html#cfn-aws-ec2-vpc-EnableDnsHostnames" xr:uid="{E1B93D84-61E8-44A2-B1D2-D236ECE84E3A}"/>
    <hyperlink ref="T8" r:id="rId4" location="cfn-aws-ec2-vpc-EnableDnsSupport" tooltip="http://docs.aws.amazon.com/AWSCloudFormation/latest/UserGuide/aws-resource-ec2-vpc.html#cfn-aws-ec2-vpc-EnableDnsSupport" xr:uid="{994EE176-FEEC-4436-A4CD-26A4E13A91A8}"/>
    <hyperlink ref="T9" r:id="rId5" location="cfn-aws-ec2-vpc-instancetenancy" tooltip="http://docs.aws.amazon.com/AWSCloudFormation/latest/UserGuide/aws-resource-ec2-vpc.html#cfn-aws-ec2-vpc-instancetenancy" xr:uid="{6EF687B4-1827-44A4-A435-C20C1141B969}"/>
    <hyperlink ref="T10" r:id="rId6" location="cfn-aws-ec2-vpc-tags" tooltip="http://docs.aws.amazon.com/AWSCloudFormation/latest/UserGuide/aws-resource-ec2-vpc.html#cfn-aws-ec2-vpc-tags" xr:uid="{617FADE6-460E-41E8-80BA-5A0AF296C1C2}"/>
    <hyperlink ref="T11" r:id="rId7" location="cfn-resource-tags-key" tooltip="http://docs.aws.amazon.com/AWSCloudFormation/latest/UserGuide/aws-properties-resource-tags.html#cfn-resource-tags-key" xr:uid="{03BE9260-25B3-43C2-AFA9-8DAC5B10B6EB}"/>
    <hyperlink ref="T12" r:id="rId8" location="cfn-resource-tags-value" tooltip="http://docs.aws.amazon.com/AWSCloudFormation/latest/UserGuide/aws-properties-resource-tags.html#cfn-resource-tags-value" xr:uid="{D6A5F910-1195-4E57-859C-B9E5E2AF75E5}"/>
    <hyperlink ref="T13" r:id="rId9" location="cfn-resource-tags-key" tooltip="http://docs.aws.amazon.com/AWSCloudFormation/latest/UserGuide/aws-properties-resource-tags.html#cfn-resource-tags-key" xr:uid="{9C2F0519-5564-4963-9EDD-37A02449BF51}"/>
    <hyperlink ref="T14" r:id="rId10" location="cfn-resource-tags-value" tooltip="http://docs.aws.amazon.com/AWSCloudFormation/latest/UserGuide/aws-properties-resource-tags.html#cfn-resource-tags-value" xr:uid="{F16BBE2E-1D20-4CD4-B831-DF3F9E88D2C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6F38D-A1D4-4893-A59B-D1C9456907AC}">
  <sheetPr codeName="Sheet123"/>
  <dimension ref="A1:V10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1.75" bestFit="1" customWidth="1"/>
  </cols>
  <sheetData>
    <row r="1" spans="1:22">
      <c r="A1" s="14" t="s">
        <v>141</v>
      </c>
    </row>
    <row r="2" spans="1:22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</row>
    <row r="3" spans="1:22">
      <c r="B3" s="34">
        <f t="shared" ref="B3:B10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</f>
        <v>mirai-InternetGateway</v>
      </c>
    </row>
    <row r="4" spans="1:22">
      <c r="B4" s="34">
        <f t="shared" si="0"/>
        <v>2</v>
      </c>
      <c r="C4" s="18"/>
      <c r="D4" s="23"/>
      <c r="E4" s="37" t="s">
        <v>289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</row>
    <row r="5" spans="1:22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</row>
    <row r="6" spans="1:22">
      <c r="B6" s="34">
        <f t="shared" si="0"/>
        <v>4</v>
      </c>
      <c r="C6" s="18"/>
      <c r="D6" s="23"/>
      <c r="E6" s="19"/>
      <c r="F6" s="40" t="s">
        <v>2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5"/>
      <c r="S6" s="41" t="s">
        <v>146</v>
      </c>
      <c r="T6" s="42" t="s">
        <v>147</v>
      </c>
      <c r="U6" s="26"/>
      <c r="V6" s="26"/>
    </row>
    <row r="7" spans="1:22">
      <c r="B7" s="34">
        <f t="shared" si="0"/>
        <v>5</v>
      </c>
      <c r="C7" s="18"/>
      <c r="D7" s="23"/>
      <c r="E7" s="19"/>
      <c r="F7" s="24"/>
      <c r="G7" s="50" t="s">
        <v>153</v>
      </c>
      <c r="H7" s="35" t="s">
        <v>154</v>
      </c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</row>
    <row r="8" spans="1:22">
      <c r="B8" s="34">
        <f t="shared" si="0"/>
        <v>6</v>
      </c>
      <c r="C8" s="18"/>
      <c r="D8" s="23"/>
      <c r="E8" s="19"/>
      <c r="F8" s="24"/>
      <c r="G8" s="15"/>
      <c r="H8" s="35" t="s">
        <v>70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36" t="s">
        <v>147</v>
      </c>
      <c r="U8" s="9"/>
      <c r="V8" s="9"/>
    </row>
    <row r="9" spans="1:22">
      <c r="B9" s="34">
        <f t="shared" si="0"/>
        <v>7</v>
      </c>
      <c r="C9" s="18"/>
      <c r="D9" s="23"/>
      <c r="E9" s="19"/>
      <c r="F9" s="24"/>
      <c r="G9" s="50" t="s">
        <v>153</v>
      </c>
      <c r="H9" s="35" t="s">
        <v>154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36" t="s">
        <v>147</v>
      </c>
      <c r="U9" s="9"/>
      <c r="V9" s="9"/>
    </row>
    <row r="10" spans="1:22">
      <c r="B10" s="34">
        <f t="shared" si="0"/>
        <v>8</v>
      </c>
      <c r="C10" s="18"/>
      <c r="D10" s="23"/>
      <c r="E10" s="19"/>
      <c r="F10" s="24"/>
      <c r="G10" s="15"/>
      <c r="H10" s="35" t="s">
        <v>70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/>
    </row>
  </sheetData>
  <phoneticPr fontId="1"/>
  <hyperlinks>
    <hyperlink ref="T4" r:id="rId1" tooltip="http://docs.aws.amazon.com/AWSCloudFormation/latest/UserGuide/aws-resource-ec2-internetgateway.html" xr:uid="{4AB596CC-60D3-4F72-8E6D-BD3228315A9D}"/>
    <hyperlink ref="T6" r:id="rId2" location="cfn-ec2-internetgateway-tags" tooltip="http://docs.aws.amazon.com/AWSCloudFormation/latest/UserGuide/aws-resource-ec2-internetgateway.html#cfn-ec2-internetgateway-tags" xr:uid="{D05EBD7C-9A5E-4E9D-A8B4-221CB172E175}"/>
    <hyperlink ref="T7" r:id="rId3" location="cfn-resource-tags-key" tooltip="http://docs.aws.amazon.com/AWSCloudFormation/latest/UserGuide/aws-properties-resource-tags.html#cfn-resource-tags-key" xr:uid="{1F150F5A-40D2-4C8D-9253-0E57F85B8747}"/>
    <hyperlink ref="T8" r:id="rId4" location="cfn-resource-tags-value" tooltip="http://docs.aws.amazon.com/AWSCloudFormation/latest/UserGuide/aws-properties-resource-tags.html#cfn-resource-tags-value" xr:uid="{07798974-4231-4C44-846C-B0C186A9DF28}"/>
    <hyperlink ref="T9" r:id="rId5" location="cfn-resource-tags-key" tooltip="http://docs.aws.amazon.com/AWSCloudFormation/latest/UserGuide/aws-properties-resource-tags.html#cfn-resource-tags-key" xr:uid="{E96B9741-27E0-4C7D-9CBF-D5E29FCB6473}"/>
    <hyperlink ref="T10" r:id="rId6" location="cfn-resource-tags-value" tooltip="http://docs.aws.amazon.com/AWSCloudFormation/latest/UserGuide/aws-properties-resource-tags.html#cfn-resource-tags-value" xr:uid="{8FC81D71-E965-4626-83C4-C77FF0660CD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E9BAB-6893-4CF3-A1DF-7FFD8F296264}">
  <sheetPr codeName="Sheet124"/>
  <dimension ref="A1:V8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T12" sqref="T12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9.625" bestFit="1" customWidth="1"/>
  </cols>
  <sheetData>
    <row r="1" spans="1:22">
      <c r="A1" s="14" t="s">
        <v>141</v>
      </c>
    </row>
    <row r="2" spans="1:22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</row>
    <row r="3" spans="1:22">
      <c r="B3" s="34">
        <f t="shared" ref="B3:B8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</f>
        <v>mirai-VPCGatewayAttachment</v>
      </c>
    </row>
    <row r="4" spans="1:22">
      <c r="B4" s="34">
        <f t="shared" si="0"/>
        <v>2</v>
      </c>
      <c r="C4" s="18"/>
      <c r="D4" s="23"/>
      <c r="E4" s="37" t="s">
        <v>290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</row>
    <row r="5" spans="1:22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</row>
    <row r="6" spans="1:22">
      <c r="B6" s="34">
        <f t="shared" si="0"/>
        <v>4</v>
      </c>
      <c r="C6" s="18"/>
      <c r="D6" s="23"/>
      <c r="E6" s="19"/>
      <c r="F6" s="35" t="s">
        <v>159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 t="str">
        <f>InternetGateway!$V$3</f>
        <v>mirai-InternetGateway</v>
      </c>
    </row>
    <row r="7" spans="1:22">
      <c r="B7" s="34">
        <f t="shared" si="0"/>
        <v>5</v>
      </c>
      <c r="C7" s="18"/>
      <c r="D7" s="23"/>
      <c r="E7" s="19"/>
      <c r="F7" s="35" t="s">
        <v>160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 t="str">
        <f>VPC!$V$3</f>
        <v>mirai-VPC</v>
      </c>
    </row>
    <row r="8" spans="1:22">
      <c r="B8" s="34">
        <f t="shared" si="0"/>
        <v>6</v>
      </c>
      <c r="C8" s="18"/>
      <c r="D8" s="23"/>
      <c r="E8" s="19"/>
      <c r="F8" s="35" t="s">
        <v>161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36" t="s">
        <v>147</v>
      </c>
      <c r="U8" s="9"/>
      <c r="V8" s="9"/>
    </row>
  </sheetData>
  <phoneticPr fontId="1"/>
  <hyperlinks>
    <hyperlink ref="T4" r:id="rId1" tooltip="http://docs.aws.amazon.com/AWSCloudFormation/latest/UserGuide/aws-resource-ec2-vpc-gateway-attachment.html" xr:uid="{31B035B5-0BE5-477F-A3B0-6D94D1332E19}"/>
    <hyperlink ref="T6" r:id="rId2" location="cfn-ec2-vpcgatewayattachment-internetgatewayid" tooltip="http://docs.aws.amazon.com/AWSCloudFormation/latest/UserGuide/aws-resource-ec2-vpc-gateway-attachment.html#cfn-ec2-vpcgatewayattachment-internetgatewayid" xr:uid="{37B8D6DC-A9FA-45E2-997E-3FFF1D36C5D3}"/>
    <hyperlink ref="T7" r:id="rId3" location="cfn-ec2-vpcgatewayattachment-vpcid" tooltip="http://docs.aws.amazon.com/AWSCloudFormation/latest/UserGuide/aws-resource-ec2-vpc-gateway-attachment.html#cfn-ec2-vpcgatewayattachment-vpcid" xr:uid="{03B8EF1E-2B64-4A24-8E86-416B798C8741}"/>
    <hyperlink ref="T8" r:id="rId4" location="cfn-ec2-vpcgatewayattachment-vpngatewayid" tooltip="http://docs.aws.amazon.com/AWSCloudFormation/latest/UserGuide/aws-resource-ec2-vpc-gateway-attachment.html#cfn-ec2-vpcgatewayattachment-vpngatewayid" xr:uid="{109FA10E-3BB2-4FD7-A3B8-3E4948D07BA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0264-9B02-47DE-B2E1-30A72FD84764}">
  <sheetPr codeName="Sheet125"/>
  <dimension ref="A1:V21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31.625" bestFit="1" customWidth="1"/>
  </cols>
  <sheetData>
    <row r="1" spans="1:22">
      <c r="A1" s="14" t="s">
        <v>141</v>
      </c>
    </row>
    <row r="2" spans="1:22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</row>
    <row r="3" spans="1:22">
      <c r="B3" s="34">
        <f t="shared" ref="B3:B21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</f>
        <v>mirai-DHCPOptions</v>
      </c>
    </row>
    <row r="4" spans="1:22">
      <c r="B4" s="34">
        <f t="shared" si="0"/>
        <v>2</v>
      </c>
      <c r="C4" s="18"/>
      <c r="D4" s="23"/>
      <c r="E4" s="37" t="s">
        <v>291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</row>
    <row r="5" spans="1:22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</row>
    <row r="6" spans="1:22">
      <c r="B6" s="34">
        <f t="shared" si="0"/>
        <v>4</v>
      </c>
      <c r="C6" s="18"/>
      <c r="D6" s="23"/>
      <c r="E6" s="19"/>
      <c r="F6" s="35" t="s">
        <v>292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 t="str">
        <f>Setting!$D$11&amp;".compute.internal"</f>
        <v>ap-northeast-1.compute.internal</v>
      </c>
    </row>
    <row r="7" spans="1:22">
      <c r="B7" s="34">
        <f t="shared" si="0"/>
        <v>5</v>
      </c>
      <c r="C7" s="18"/>
      <c r="D7" s="23"/>
      <c r="E7" s="19"/>
      <c r="F7" s="40" t="s">
        <v>293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5"/>
      <c r="S7" s="41" t="s">
        <v>146</v>
      </c>
      <c r="T7" s="42" t="s">
        <v>147</v>
      </c>
      <c r="U7" s="26"/>
      <c r="V7" s="26"/>
    </row>
    <row r="8" spans="1:22">
      <c r="B8" s="34">
        <f t="shared" si="0"/>
        <v>6</v>
      </c>
      <c r="C8" s="18"/>
      <c r="D8" s="23"/>
      <c r="E8" s="19"/>
      <c r="F8" s="24"/>
      <c r="G8" s="50" t="s">
        <v>153</v>
      </c>
      <c r="H8" s="43" t="s">
        <v>146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9"/>
      <c r="U8" s="9"/>
      <c r="V8" s="9" t="s">
        <v>354</v>
      </c>
    </row>
    <row r="9" spans="1:22">
      <c r="B9" s="34">
        <f t="shared" si="0"/>
        <v>7</v>
      </c>
      <c r="C9" s="18"/>
      <c r="D9" s="23"/>
      <c r="E9" s="19"/>
      <c r="F9" s="24"/>
      <c r="G9" s="50" t="s">
        <v>153</v>
      </c>
      <c r="H9" s="43" t="s">
        <v>146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9"/>
      <c r="U9" s="9"/>
      <c r="V9" s="9"/>
    </row>
    <row r="10" spans="1:22">
      <c r="B10" s="34">
        <f t="shared" si="0"/>
        <v>8</v>
      </c>
      <c r="C10" s="18"/>
      <c r="D10" s="23"/>
      <c r="E10" s="19"/>
      <c r="F10" s="40" t="s">
        <v>294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5"/>
      <c r="S10" s="41" t="s">
        <v>146</v>
      </c>
      <c r="T10" s="42" t="s">
        <v>147</v>
      </c>
      <c r="U10" s="26"/>
      <c r="V10" s="26"/>
    </row>
    <row r="11" spans="1:22">
      <c r="B11" s="34">
        <f t="shared" si="0"/>
        <v>9</v>
      </c>
      <c r="C11" s="18"/>
      <c r="D11" s="23"/>
      <c r="E11" s="19"/>
      <c r="F11" s="24"/>
      <c r="G11" s="50" t="s">
        <v>153</v>
      </c>
      <c r="H11" s="43" t="s">
        <v>146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9"/>
      <c r="U11" s="9"/>
      <c r="V11" s="9"/>
    </row>
    <row r="12" spans="1:22">
      <c r="B12" s="34">
        <f t="shared" si="0"/>
        <v>10</v>
      </c>
      <c r="C12" s="18"/>
      <c r="D12" s="23"/>
      <c r="E12" s="19"/>
      <c r="F12" s="24"/>
      <c r="G12" s="50" t="s">
        <v>153</v>
      </c>
      <c r="H12" s="43" t="s">
        <v>146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9"/>
      <c r="U12" s="9"/>
      <c r="V12" s="9"/>
    </row>
    <row r="13" spans="1:22">
      <c r="B13" s="34">
        <f t="shared" si="0"/>
        <v>11</v>
      </c>
      <c r="C13" s="18"/>
      <c r="D13" s="23"/>
      <c r="E13" s="19"/>
      <c r="F13" s="35" t="s">
        <v>295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4" t="s">
        <v>162</v>
      </c>
      <c r="T13" s="36" t="s">
        <v>147</v>
      </c>
      <c r="U13" s="9"/>
      <c r="V13" s="9"/>
    </row>
    <row r="14" spans="1:22">
      <c r="B14" s="34">
        <f t="shared" si="0"/>
        <v>12</v>
      </c>
      <c r="C14" s="18"/>
      <c r="D14" s="23"/>
      <c r="E14" s="19"/>
      <c r="F14" s="40" t="s">
        <v>296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5"/>
      <c r="S14" s="41" t="s">
        <v>146</v>
      </c>
      <c r="T14" s="42" t="s">
        <v>147</v>
      </c>
      <c r="U14" s="26"/>
      <c r="V14" s="26"/>
    </row>
    <row r="15" spans="1:22">
      <c r="B15" s="34">
        <f t="shared" si="0"/>
        <v>13</v>
      </c>
      <c r="C15" s="18"/>
      <c r="D15" s="23"/>
      <c r="E15" s="19"/>
      <c r="F15" s="24"/>
      <c r="G15" s="50" t="s">
        <v>153</v>
      </c>
      <c r="H15" s="43" t="s">
        <v>146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4" t="s">
        <v>143</v>
      </c>
      <c r="T15" s="9"/>
      <c r="U15" s="9"/>
      <c r="V15" s="9"/>
    </row>
    <row r="16" spans="1:22">
      <c r="B16" s="34">
        <f t="shared" si="0"/>
        <v>14</v>
      </c>
      <c r="C16" s="18"/>
      <c r="D16" s="23"/>
      <c r="E16" s="19"/>
      <c r="F16" s="24"/>
      <c r="G16" s="50" t="s">
        <v>153</v>
      </c>
      <c r="H16" s="43" t="s">
        <v>146</v>
      </c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4" t="s">
        <v>143</v>
      </c>
      <c r="T16" s="9"/>
      <c r="U16" s="9"/>
      <c r="V16" s="9"/>
    </row>
    <row r="17" spans="2:22">
      <c r="B17" s="34">
        <f t="shared" si="0"/>
        <v>15</v>
      </c>
      <c r="C17" s="18"/>
      <c r="D17" s="23"/>
      <c r="E17" s="19"/>
      <c r="F17" s="40" t="s">
        <v>2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5"/>
      <c r="S17" s="41" t="s">
        <v>146</v>
      </c>
      <c r="T17" s="42" t="s">
        <v>147</v>
      </c>
      <c r="U17" s="26"/>
      <c r="V17" s="26"/>
    </row>
    <row r="18" spans="2:22">
      <c r="B18" s="34">
        <f t="shared" si="0"/>
        <v>16</v>
      </c>
      <c r="C18" s="18"/>
      <c r="D18" s="23"/>
      <c r="E18" s="19"/>
      <c r="F18" s="24"/>
      <c r="G18" s="50" t="s">
        <v>153</v>
      </c>
      <c r="H18" s="35" t="s">
        <v>154</v>
      </c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34" t="s">
        <v>143</v>
      </c>
      <c r="T18" s="36" t="s">
        <v>147</v>
      </c>
      <c r="U18" s="9"/>
      <c r="V18" s="9"/>
    </row>
    <row r="19" spans="2:22">
      <c r="B19" s="34">
        <f t="shared" si="0"/>
        <v>17</v>
      </c>
      <c r="C19" s="18"/>
      <c r="D19" s="23"/>
      <c r="E19" s="19"/>
      <c r="F19" s="24"/>
      <c r="G19" s="15"/>
      <c r="H19" s="35" t="s">
        <v>70</v>
      </c>
      <c r="I19" s="15"/>
      <c r="J19" s="15"/>
      <c r="K19" s="15"/>
      <c r="L19" s="15"/>
      <c r="M19" s="15"/>
      <c r="N19" s="15"/>
      <c r="O19" s="15"/>
      <c r="P19" s="15"/>
      <c r="Q19" s="15"/>
      <c r="R19" s="16"/>
      <c r="S19" s="34" t="s">
        <v>143</v>
      </c>
      <c r="T19" s="36" t="s">
        <v>147</v>
      </c>
      <c r="U19" s="9"/>
      <c r="V19" s="9"/>
    </row>
    <row r="20" spans="2:22">
      <c r="B20" s="34">
        <f t="shared" si="0"/>
        <v>18</v>
      </c>
      <c r="C20" s="18"/>
      <c r="D20" s="23"/>
      <c r="E20" s="19"/>
      <c r="F20" s="24"/>
      <c r="G20" s="50" t="s">
        <v>153</v>
      </c>
      <c r="H20" s="35" t="s">
        <v>154</v>
      </c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34" t="s">
        <v>143</v>
      </c>
      <c r="T20" s="36" t="s">
        <v>147</v>
      </c>
      <c r="U20" s="9"/>
      <c r="V20" s="9"/>
    </row>
    <row r="21" spans="2:22">
      <c r="B21" s="34">
        <f t="shared" si="0"/>
        <v>19</v>
      </c>
      <c r="C21" s="18"/>
      <c r="D21" s="23"/>
      <c r="E21" s="19"/>
      <c r="F21" s="24"/>
      <c r="G21" s="15"/>
      <c r="H21" s="35" t="s">
        <v>70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34" t="s">
        <v>143</v>
      </c>
      <c r="T21" s="36" t="s">
        <v>147</v>
      </c>
      <c r="U21" s="9"/>
      <c r="V21" s="9"/>
    </row>
  </sheetData>
  <phoneticPr fontId="1"/>
  <hyperlinks>
    <hyperlink ref="T4" r:id="rId1" tooltip="http://docs.aws.amazon.com/AWSCloudFormation/latest/UserGuide/aws-resource-ec2-dhcp-options.html" xr:uid="{738282D3-B70E-4DDA-8697-B3C592CB7EC6}"/>
    <hyperlink ref="T6" r:id="rId2" location="cfn-ec2-dhcpoptions-domainname" tooltip="http://docs.aws.amazon.com/AWSCloudFormation/latest/UserGuide/aws-resource-ec2-dhcp-options.html#cfn-ec2-dhcpoptions-domainname" xr:uid="{47C8E413-0582-4755-9948-0E4827AB61D4}"/>
    <hyperlink ref="T7" r:id="rId3" location="cfn-ec2-dhcpoptions-domainnameservers" tooltip="http://docs.aws.amazon.com/AWSCloudFormation/latest/UserGuide/aws-resource-ec2-dhcp-options.html#cfn-ec2-dhcpoptions-domainnameservers" xr:uid="{F63DF6F1-192A-4C2E-89BF-6EC08A1761CA}"/>
    <hyperlink ref="T10" r:id="rId4" location="cfn-ec2-dhcpoptions-netbiosnameservers" tooltip="http://docs.aws.amazon.com/AWSCloudFormation/latest/UserGuide/aws-resource-ec2-dhcp-options.html#cfn-ec2-dhcpoptions-netbiosnameservers" xr:uid="{D2B8DE72-B819-4429-8DF3-7059517693C4}"/>
    <hyperlink ref="T13" r:id="rId5" location="cfn-ec2-dhcpoptions-netbiosnodetype" tooltip="http://docs.aws.amazon.com/AWSCloudFormation/latest/UserGuide/aws-resource-ec2-dhcp-options.html#cfn-ec2-dhcpoptions-netbiosnodetype" xr:uid="{D19647AF-3E4D-430F-85D1-FB5C4304887F}"/>
    <hyperlink ref="T14" r:id="rId6" location="cfn-ec2-dhcpoptions-ntpservers" tooltip="http://docs.aws.amazon.com/AWSCloudFormation/latest/UserGuide/aws-resource-ec2-dhcp-options.html#cfn-ec2-dhcpoptions-ntpservers" xr:uid="{10590B2D-79E4-4EA0-B061-29159A4A4876}"/>
    <hyperlink ref="T17" r:id="rId7" location="cfn-ec2-dhcpoptions-tags" tooltip="http://docs.aws.amazon.com/AWSCloudFormation/latest/UserGuide/aws-resource-ec2-dhcp-options.html#cfn-ec2-dhcpoptions-tags" xr:uid="{FDA01CC8-CA3D-47A1-851D-E3C7B328876F}"/>
    <hyperlink ref="T18" r:id="rId8" location="cfn-resource-tags-key" tooltip="http://docs.aws.amazon.com/AWSCloudFormation/latest/UserGuide/aws-properties-resource-tags.html#cfn-resource-tags-key" xr:uid="{B6D16116-3EFB-489E-9B9C-007D96265E25}"/>
    <hyperlink ref="T19" r:id="rId9" location="cfn-resource-tags-value" tooltip="http://docs.aws.amazon.com/AWSCloudFormation/latest/UserGuide/aws-properties-resource-tags.html#cfn-resource-tags-value" xr:uid="{DF6D8065-3598-4479-97E3-E02CC0265B62}"/>
    <hyperlink ref="T20" r:id="rId10" location="cfn-resource-tags-key" tooltip="http://docs.aws.amazon.com/AWSCloudFormation/latest/UserGuide/aws-properties-resource-tags.html#cfn-resource-tags-key" xr:uid="{B04EE91A-3AFF-41B8-B807-4D8F7E649A6F}"/>
    <hyperlink ref="T21" r:id="rId11" location="cfn-resource-tags-value" tooltip="http://docs.aws.amazon.com/AWSCloudFormation/latest/UserGuide/aws-properties-resource-tags.html#cfn-resource-tags-value" xr:uid="{3ECEB808-7D89-4E76-BAEA-E6482F52827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CA646-CB69-45F0-A71C-35F9F80F04BA}">
  <sheetPr codeName="Sheet126"/>
  <dimension ref="A1:V7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34.875" bestFit="1" customWidth="1"/>
  </cols>
  <sheetData>
    <row r="1" spans="1:22">
      <c r="A1" s="14" t="s">
        <v>141</v>
      </c>
    </row>
    <row r="2" spans="1:22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</row>
    <row r="3" spans="1:22">
      <c r="B3" s="34">
        <f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</f>
        <v>mirai-VPCDHCPOptionsAssociation</v>
      </c>
    </row>
    <row r="4" spans="1:22">
      <c r="B4" s="34">
        <f>ROW()-2</f>
        <v>2</v>
      </c>
      <c r="C4" s="18"/>
      <c r="D4" s="23"/>
      <c r="E4" s="37" t="s">
        <v>297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</row>
    <row r="5" spans="1:22">
      <c r="B5" s="34">
        <f>ROW()-2</f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</row>
    <row r="6" spans="1:22">
      <c r="B6" s="34">
        <f>ROW()-2</f>
        <v>4</v>
      </c>
      <c r="C6" s="18"/>
      <c r="D6" s="23"/>
      <c r="E6" s="19"/>
      <c r="F6" s="35" t="s">
        <v>298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 t="str">
        <f>DHCPOptions!$V$3</f>
        <v>mirai-DHCPOptions</v>
      </c>
    </row>
    <row r="7" spans="1:22">
      <c r="B7" s="34">
        <f>ROW()-2</f>
        <v>5</v>
      </c>
      <c r="C7" s="18"/>
      <c r="D7" s="23"/>
      <c r="E7" s="19"/>
      <c r="F7" s="35" t="s">
        <v>160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 t="str">
        <f>VPC!$V$3</f>
        <v>mirai-VPC</v>
      </c>
    </row>
  </sheetData>
  <phoneticPr fontId="1"/>
  <hyperlinks>
    <hyperlink ref="T4" r:id="rId1" tooltip="http://docs.aws.amazon.com/AWSCloudFormation/latest/UserGuide/aws-resource-ec2-vpc-dhcp-options-assoc.html" xr:uid="{46D6B748-BC45-4317-A3B7-3EFF91F9B6D7}"/>
    <hyperlink ref="T6" r:id="rId2" location="cfn-ec2-vpcdhcpoptionsassociation-dhcpoptionsid" tooltip="http://docs.aws.amazon.com/AWSCloudFormation/latest/UserGuide/aws-resource-ec2-vpc-dhcp-options-assoc.html#cfn-ec2-vpcdhcpoptionsassociation-dhcpoptionsid" xr:uid="{ED04A162-CD12-46B5-9042-D2607005C9EE}"/>
    <hyperlink ref="T7" r:id="rId3" location="cfn-ec2-vpcdhcpoptionsassociation-vpcid" tooltip="http://docs.aws.amazon.com/AWSCloudFormation/latest/UserGuide/aws-resource-ec2-vpc-dhcp-options-assoc.html#cfn-ec2-vpcdhcpoptionsassociation-vpcid" xr:uid="{E2FEF454-7D26-491F-9A92-AB1015934022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14E39-BF8F-4487-8AE0-F6FCBB2A55B3}">
  <sheetPr codeName="Sheet127"/>
  <dimension ref="A1:AA17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17" sqref="V17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7" width="22.75" customWidth="1"/>
  </cols>
  <sheetData>
    <row r="1" spans="1:27">
      <c r="A1" s="14" t="s">
        <v>141</v>
      </c>
    </row>
    <row r="2" spans="1:27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 t="shared" ref="W2:AA2" si="0">"Value" &amp; COLUMN() -  21</f>
        <v>Value2</v>
      </c>
      <c r="X2" s="7" t="str">
        <f t="shared" si="0"/>
        <v>Value3</v>
      </c>
      <c r="Y2" s="7" t="str">
        <f t="shared" si="0"/>
        <v>Value4</v>
      </c>
      <c r="Z2" s="7" t="str">
        <f t="shared" si="0"/>
        <v>Value5</v>
      </c>
      <c r="AA2" s="7" t="str">
        <f t="shared" si="0"/>
        <v>Value6</v>
      </c>
    </row>
    <row r="3" spans="1:27">
      <c r="B3" s="34">
        <f t="shared" ref="B3:B17" si="1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Setting!$D$10&amp;"-"&amp;RIGHT($E$4,LEN($E$4)-FIND(";",SUBSTITUTE($E$4,":",";",LEN($E$4)-LEN(SUBSTITUTE($E$4,":","")))))&amp;"-Private01"</f>
        <v>mirai-Subnet-Private01</v>
      </c>
      <c r="W3" s="9" t="str">
        <f>Setting!$D$10&amp;"-"&amp;RIGHT($E$4,LEN($E$4)-FIND(";",SUBSTITUTE($E$4,":",";",LEN($E$4)-LEN(SUBSTITUTE($E$4,":","")))))&amp;"-Private02"</f>
        <v>mirai-Subnet-Private02</v>
      </c>
      <c r="X3" s="9" t="str">
        <f>Setting!$D$10&amp;"-"&amp;RIGHT($E$4,LEN($E$4)-FIND(";",SUBSTITUTE($E$4,":",";",LEN($E$4)-LEN(SUBSTITUTE($E$4,":","")))))&amp;"-Private03"</f>
        <v>mirai-Subnet-Private03</v>
      </c>
      <c r="Y3" s="9" t="str">
        <f>Setting!$D$10&amp;"-"&amp;RIGHT($E$4,LEN($E$4)-FIND(";",SUBSTITUTE($E$4,":",";",LEN($E$4)-LEN(SUBSTITUTE($E$4,":","")))))&amp;"-Public01"</f>
        <v>mirai-Subnet-Public01</v>
      </c>
      <c r="Z3" s="9" t="str">
        <f>Setting!$D$10&amp;"-"&amp;RIGHT($E$4,LEN($E$4)-FIND(";",SUBSTITUTE($E$4,":",";",LEN($E$4)-LEN(SUBSTITUTE($E$4,":","")))))&amp;"-Public02"</f>
        <v>mirai-Subnet-Public02</v>
      </c>
      <c r="AA3" s="9" t="str">
        <f>Setting!$D$10&amp;"-"&amp;RIGHT($E$4,LEN($E$4)-FIND(";",SUBSTITUTE($E$4,":",";",LEN($E$4)-LEN(SUBSTITUTE($E$4,":","")))))&amp;"-Public03"</f>
        <v>mirai-Subnet-Public03</v>
      </c>
    </row>
    <row r="4" spans="1:27">
      <c r="B4" s="34">
        <f t="shared" si="1"/>
        <v>2</v>
      </c>
      <c r="C4" s="18"/>
      <c r="D4" s="23"/>
      <c r="E4" s="37" t="s">
        <v>163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  <c r="X4" s="22"/>
      <c r="Y4" s="22"/>
      <c r="Z4" s="22"/>
      <c r="AA4" s="22"/>
    </row>
    <row r="5" spans="1:27">
      <c r="B5" s="34">
        <f t="shared" si="1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  <c r="X5" s="22"/>
      <c r="Y5" s="22"/>
      <c r="Z5" s="22"/>
      <c r="AA5" s="22"/>
    </row>
    <row r="6" spans="1:27">
      <c r="B6" s="34">
        <f t="shared" si="1"/>
        <v>4</v>
      </c>
      <c r="C6" s="18"/>
      <c r="D6" s="23"/>
      <c r="E6" s="19"/>
      <c r="F6" s="35" t="s">
        <v>164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150</v>
      </c>
      <c r="T6" s="36" t="s">
        <v>147</v>
      </c>
      <c r="U6" s="9"/>
      <c r="V6" s="9"/>
      <c r="W6" s="9"/>
      <c r="X6" s="9"/>
      <c r="Y6" s="9"/>
      <c r="Z6" s="9"/>
      <c r="AA6" s="9"/>
    </row>
    <row r="7" spans="1:27">
      <c r="B7" s="34">
        <f t="shared" si="1"/>
        <v>5</v>
      </c>
      <c r="C7" s="18"/>
      <c r="D7" s="23"/>
      <c r="E7" s="19"/>
      <c r="F7" s="35" t="s">
        <v>165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 t="str">
        <f>Setting!$D$12</f>
        <v>ap-northeast-1a</v>
      </c>
      <c r="W7" s="9" t="str">
        <f>Setting!$D$13</f>
        <v>ap-northeast-1d</v>
      </c>
      <c r="X7" s="9" t="str">
        <f>Setting!$D$14</f>
        <v>ap-northeast-1c</v>
      </c>
      <c r="Y7" s="9" t="str">
        <f>Setting!$D$12</f>
        <v>ap-northeast-1a</v>
      </c>
      <c r="Z7" s="9" t="str">
        <f>Setting!$D$13</f>
        <v>ap-northeast-1d</v>
      </c>
      <c r="AA7" s="9" t="str">
        <f>Setting!$D$14</f>
        <v>ap-northeast-1c</v>
      </c>
    </row>
    <row r="8" spans="1:27">
      <c r="B8" s="34">
        <f t="shared" si="1"/>
        <v>6</v>
      </c>
      <c r="C8" s="18"/>
      <c r="D8" s="23"/>
      <c r="E8" s="19"/>
      <c r="F8" s="35" t="s">
        <v>148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36" t="s">
        <v>147</v>
      </c>
      <c r="U8" s="9"/>
      <c r="V8" s="9" t="str">
        <f>Setting!$D$16</f>
        <v>192.168.128.0/27</v>
      </c>
      <c r="W8" s="9" t="str">
        <f>Setting!$D$17</f>
        <v>192.168.128.32/27</v>
      </c>
      <c r="X8" s="9" t="str">
        <f>Setting!$D$18</f>
        <v>192.168.128.64/27</v>
      </c>
      <c r="Y8" s="9" t="str">
        <f>Setting!$D$19</f>
        <v>192.168.128.128/27</v>
      </c>
      <c r="Z8" s="9" t="str">
        <f>Setting!$D$20</f>
        <v>192.168.128.160/27</v>
      </c>
      <c r="AA8" s="9" t="str">
        <f>Setting!$D$21</f>
        <v>192.168.128.192/27</v>
      </c>
    </row>
    <row r="9" spans="1:27">
      <c r="B9" s="34">
        <f t="shared" si="1"/>
        <v>7</v>
      </c>
      <c r="C9" s="18"/>
      <c r="D9" s="23"/>
      <c r="E9" s="19"/>
      <c r="F9" s="35" t="s">
        <v>166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36" t="s">
        <v>147</v>
      </c>
      <c r="U9" s="9"/>
      <c r="V9" s="9"/>
      <c r="W9" s="9"/>
      <c r="X9" s="9"/>
      <c r="Y9" s="9"/>
      <c r="Z9" s="9"/>
      <c r="AA9" s="9"/>
    </row>
    <row r="10" spans="1:27">
      <c r="B10" s="34">
        <f t="shared" si="1"/>
        <v>8</v>
      </c>
      <c r="C10" s="18"/>
      <c r="D10" s="23"/>
      <c r="E10" s="19"/>
      <c r="F10" s="35" t="s">
        <v>167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150</v>
      </c>
      <c r="T10" s="36" t="s">
        <v>147</v>
      </c>
      <c r="U10" s="9"/>
      <c r="V10" s="9"/>
      <c r="W10" s="9"/>
      <c r="X10" s="9"/>
      <c r="Y10" s="9"/>
      <c r="Z10" s="9"/>
      <c r="AA10" s="9"/>
    </row>
    <row r="11" spans="1:27">
      <c r="B11" s="34">
        <f t="shared" si="1"/>
        <v>9</v>
      </c>
      <c r="C11" s="18"/>
      <c r="D11" s="23"/>
      <c r="E11" s="19"/>
      <c r="F11" s="35" t="s">
        <v>299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/>
      <c r="W11" s="9"/>
      <c r="X11" s="9"/>
      <c r="Y11" s="9"/>
      <c r="Z11" s="9"/>
      <c r="AA11" s="9"/>
    </row>
    <row r="12" spans="1:27">
      <c r="B12" s="34">
        <f t="shared" si="1"/>
        <v>10</v>
      </c>
      <c r="C12" s="18"/>
      <c r="D12" s="23"/>
      <c r="E12" s="19"/>
      <c r="F12" s="40" t="s">
        <v>2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5"/>
      <c r="S12" s="41" t="s">
        <v>146</v>
      </c>
      <c r="T12" s="42" t="s">
        <v>147</v>
      </c>
      <c r="U12" s="26"/>
      <c r="V12" s="26"/>
      <c r="W12" s="26"/>
      <c r="X12" s="26"/>
      <c r="Y12" s="26"/>
      <c r="Z12" s="26"/>
      <c r="AA12" s="26"/>
    </row>
    <row r="13" spans="1:27">
      <c r="B13" s="34">
        <f t="shared" si="1"/>
        <v>11</v>
      </c>
      <c r="C13" s="18"/>
      <c r="D13" s="23"/>
      <c r="E13" s="19"/>
      <c r="F13" s="24"/>
      <c r="G13" s="50" t="s">
        <v>153</v>
      </c>
      <c r="H13" s="35" t="s">
        <v>154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4" t="s">
        <v>143</v>
      </c>
      <c r="T13" s="36" t="s">
        <v>147</v>
      </c>
      <c r="U13" s="9"/>
      <c r="V13" s="9"/>
      <c r="W13" s="9"/>
      <c r="X13" s="9"/>
      <c r="Y13" s="9"/>
      <c r="Z13" s="9"/>
      <c r="AA13" s="9"/>
    </row>
    <row r="14" spans="1:27">
      <c r="B14" s="34">
        <f t="shared" si="1"/>
        <v>12</v>
      </c>
      <c r="C14" s="18"/>
      <c r="D14" s="23"/>
      <c r="E14" s="19"/>
      <c r="F14" s="24"/>
      <c r="G14" s="15"/>
      <c r="H14" s="35" t="s">
        <v>70</v>
      </c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4" t="s">
        <v>143</v>
      </c>
      <c r="T14" s="36" t="s">
        <v>147</v>
      </c>
      <c r="U14" s="9"/>
      <c r="V14" s="9"/>
      <c r="W14" s="9"/>
      <c r="X14" s="9"/>
      <c r="Y14" s="9"/>
      <c r="Z14" s="9"/>
      <c r="AA14" s="9"/>
    </row>
    <row r="15" spans="1:27">
      <c r="B15" s="34">
        <f t="shared" si="1"/>
        <v>13</v>
      </c>
      <c r="C15" s="18"/>
      <c r="D15" s="23"/>
      <c r="E15" s="19"/>
      <c r="F15" s="24"/>
      <c r="G15" s="50" t="s">
        <v>153</v>
      </c>
      <c r="H15" s="35" t="s">
        <v>154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4" t="s">
        <v>143</v>
      </c>
      <c r="T15" s="36" t="s">
        <v>147</v>
      </c>
      <c r="U15" s="9"/>
      <c r="V15" s="9"/>
      <c r="W15" s="9"/>
      <c r="X15" s="9"/>
      <c r="Y15" s="9"/>
      <c r="Z15" s="9"/>
      <c r="AA15" s="9"/>
    </row>
    <row r="16" spans="1:27">
      <c r="B16" s="34">
        <f t="shared" si="1"/>
        <v>14</v>
      </c>
      <c r="C16" s="18"/>
      <c r="D16" s="23"/>
      <c r="E16" s="19"/>
      <c r="F16" s="24"/>
      <c r="G16" s="15"/>
      <c r="H16" s="35" t="s">
        <v>70</v>
      </c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4" t="s">
        <v>143</v>
      </c>
      <c r="T16" s="36" t="s">
        <v>147</v>
      </c>
      <c r="U16" s="9"/>
      <c r="V16" s="9"/>
      <c r="W16" s="9"/>
      <c r="X16" s="9"/>
      <c r="Y16" s="9"/>
      <c r="Z16" s="9"/>
      <c r="AA16" s="9"/>
    </row>
    <row r="17" spans="2:27">
      <c r="B17" s="34">
        <f t="shared" si="1"/>
        <v>15</v>
      </c>
      <c r="C17" s="18"/>
      <c r="D17" s="23"/>
      <c r="E17" s="19"/>
      <c r="F17" s="35" t="s">
        <v>160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34" t="s">
        <v>143</v>
      </c>
      <c r="T17" s="36" t="s">
        <v>147</v>
      </c>
      <c r="U17" s="9"/>
      <c r="V17" s="9" t="str">
        <f>VPC!$V$3</f>
        <v>mirai-VPC</v>
      </c>
      <c r="W17" s="9" t="str">
        <f>VPC!$V$3</f>
        <v>mirai-VPC</v>
      </c>
      <c r="X17" s="9" t="str">
        <f>VPC!$V$3</f>
        <v>mirai-VPC</v>
      </c>
      <c r="Y17" s="9" t="str">
        <f>VPC!$V$3</f>
        <v>mirai-VPC</v>
      </c>
      <c r="Z17" s="9" t="str">
        <f>VPC!$V$3</f>
        <v>mirai-VPC</v>
      </c>
      <c r="AA17" s="9" t="str">
        <f>VPC!$V$3</f>
        <v>mirai-VPC</v>
      </c>
    </row>
  </sheetData>
  <phoneticPr fontId="1"/>
  <hyperlinks>
    <hyperlink ref="T4" r:id="rId1" tooltip="http://docs.aws.amazon.com/AWSCloudFormation/latest/UserGuide/aws-resource-ec2-subnet.html" xr:uid="{B2A87DCA-3E13-4404-9A3D-8B8DF84C6CE0}"/>
    <hyperlink ref="T6" r:id="rId2" location="cfn-ec2-subnet-assignipv6addressoncreation" tooltip="http://docs.aws.amazon.com/AWSCloudFormation/latest/UserGuide/aws-resource-ec2-subnet.html#cfn-ec2-subnet-assignipv6addressoncreation" xr:uid="{0CA558CF-67E7-41CA-9604-C1B45EECCA48}"/>
    <hyperlink ref="T7" r:id="rId3" location="cfn-ec2-subnet-availabilityzone" tooltip="http://docs.aws.amazon.com/AWSCloudFormation/latest/UserGuide/aws-resource-ec2-subnet.html#cfn-ec2-subnet-availabilityzone" xr:uid="{77934A25-5C93-40DA-A036-724EAB6365E0}"/>
    <hyperlink ref="T8" r:id="rId4" location="cfn-ec2-subnet-cidrblock" tooltip="http://docs.aws.amazon.com/AWSCloudFormation/latest/UserGuide/aws-resource-ec2-subnet.html#cfn-ec2-subnet-cidrblock" xr:uid="{C6DC81E8-290D-4216-932F-A63ACB67F662}"/>
    <hyperlink ref="T9" r:id="rId5" location="cfn-ec2-subnet-ipv6cidrblock" tooltip="http://docs.aws.amazon.com/AWSCloudFormation/latest/UserGuide/aws-resource-ec2-subnet.html#cfn-ec2-subnet-ipv6cidrblock" xr:uid="{2C873231-2E0C-4996-BBDF-3210635333D3}"/>
    <hyperlink ref="T10" r:id="rId6" location="cfn-ec2-subnet-mappubliciponlaunch" tooltip="http://docs.aws.amazon.com/AWSCloudFormation/latest/UserGuide/aws-resource-ec2-subnet.html#cfn-ec2-subnet-mappubliciponlaunch" xr:uid="{D5193EEA-9B01-4C32-A5B2-E4337701E70C}"/>
    <hyperlink ref="T11" r:id="rId7" location="cfn-ec2-subnet-outpostarn" tooltip="http://docs.aws.amazon.com/AWSCloudFormation/latest/UserGuide/aws-resource-ec2-subnet.html#cfn-ec2-subnet-outpostarn" xr:uid="{1B51702E-896A-499E-96AA-1169840E8C18}"/>
    <hyperlink ref="T12" r:id="rId8" location="cfn-ec2-subnet-tags" tooltip="http://docs.aws.amazon.com/AWSCloudFormation/latest/UserGuide/aws-resource-ec2-subnet.html#cfn-ec2-subnet-tags" xr:uid="{CF8F2498-7DFC-45A4-B232-4FDE9ED5B59B}"/>
    <hyperlink ref="T13" r:id="rId9" location="cfn-resource-tags-key" tooltip="http://docs.aws.amazon.com/AWSCloudFormation/latest/UserGuide/aws-properties-resource-tags.html#cfn-resource-tags-key" xr:uid="{EC9C72C4-B821-4286-B8B7-FD251CDBAA10}"/>
    <hyperlink ref="T14" r:id="rId10" location="cfn-resource-tags-value" tooltip="http://docs.aws.amazon.com/AWSCloudFormation/latest/UserGuide/aws-properties-resource-tags.html#cfn-resource-tags-value" xr:uid="{D5232862-E40A-42F3-B56B-594760FF514C}"/>
    <hyperlink ref="T15" r:id="rId11" location="cfn-resource-tags-key" tooltip="http://docs.aws.amazon.com/AWSCloudFormation/latest/UserGuide/aws-properties-resource-tags.html#cfn-resource-tags-key" xr:uid="{9872C018-AA58-49BA-A5D3-677D4FB5142C}"/>
    <hyperlink ref="T16" r:id="rId12" location="cfn-resource-tags-value" tooltip="http://docs.aws.amazon.com/AWSCloudFormation/latest/UserGuide/aws-properties-resource-tags.html#cfn-resource-tags-value" xr:uid="{AA2A1698-EBCC-400D-BCA1-F57289093015}"/>
    <hyperlink ref="T17" r:id="rId13" location="cfn-awsec2subnet-prop-vpcid" tooltip="http://docs.aws.amazon.com/AWSCloudFormation/latest/UserGuide/aws-resource-ec2-subnet.html#cfn-awsec2subnet-prop-vpcid" xr:uid="{CD4AD84C-9FDF-49BC-A92D-E0D459D43C1A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AEDD-615F-4219-ADE3-BF122A45B13C}">
  <sheetPr codeName="Sheet128"/>
  <dimension ref="A1:W13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2" sqref="V2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8" style="8" bestFit="1" customWidth="1"/>
    <col min="23" max="24" width="20.75" customWidth="1"/>
  </cols>
  <sheetData>
    <row r="1" spans="1:23">
      <c r="A1" s="14" t="s">
        <v>141</v>
      </c>
      <c r="W1" t="s">
        <v>373</v>
      </c>
    </row>
    <row r="2" spans="1:23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>"Value" &amp; COLUMN() -  21</f>
        <v>Value2</v>
      </c>
    </row>
    <row r="3" spans="1:23">
      <c r="B3" s="34">
        <f t="shared" ref="B3:B13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/>
      <c r="W3" s="9" t="str">
        <f>Setting!$D$10&amp;"-"&amp;RIGHT($E$4,LEN($E$4)-FIND(";",SUBSTITUTE($E$4,":",";",LEN($E$4)-LEN(SUBSTITUTE($E$4,":","")))))</f>
        <v>mirai-EIP</v>
      </c>
    </row>
    <row r="4" spans="1:23">
      <c r="B4" s="34">
        <f t="shared" si="0"/>
        <v>2</v>
      </c>
      <c r="C4" s="18"/>
      <c r="D4" s="23"/>
      <c r="E4" s="37" t="s">
        <v>300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</row>
    <row r="5" spans="1:23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</row>
    <row r="6" spans="1:23">
      <c r="B6" s="34">
        <f t="shared" si="0"/>
        <v>4</v>
      </c>
      <c r="C6" s="18"/>
      <c r="D6" s="23"/>
      <c r="E6" s="19"/>
      <c r="F6" s="35" t="s">
        <v>301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/>
      <c r="W6" s="9" t="s">
        <v>355</v>
      </c>
    </row>
    <row r="7" spans="1:23">
      <c r="B7" s="34">
        <f t="shared" si="0"/>
        <v>5</v>
      </c>
      <c r="C7" s="18"/>
      <c r="D7" s="23"/>
      <c r="E7" s="19"/>
      <c r="F7" s="35" t="s">
        <v>173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  <c r="W7" s="9"/>
    </row>
    <row r="8" spans="1:23">
      <c r="B8" s="34">
        <f t="shared" si="0"/>
        <v>6</v>
      </c>
      <c r="C8" s="18"/>
      <c r="D8" s="23"/>
      <c r="E8" s="19"/>
      <c r="F8" s="35" t="s">
        <v>302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36" t="s">
        <v>147</v>
      </c>
      <c r="U8" s="9"/>
      <c r="V8" s="9"/>
      <c r="W8" s="9"/>
    </row>
    <row r="9" spans="1:23">
      <c r="B9" s="34">
        <f t="shared" si="0"/>
        <v>7</v>
      </c>
      <c r="C9" s="18"/>
      <c r="D9" s="23"/>
      <c r="E9" s="19"/>
      <c r="F9" s="40" t="s">
        <v>2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5"/>
      <c r="S9" s="41" t="s">
        <v>146</v>
      </c>
      <c r="T9" s="42" t="s">
        <v>147</v>
      </c>
      <c r="U9" s="26"/>
      <c r="V9" s="26"/>
      <c r="W9" s="26"/>
    </row>
    <row r="10" spans="1:23">
      <c r="B10" s="34">
        <f t="shared" si="0"/>
        <v>8</v>
      </c>
      <c r="C10" s="18"/>
      <c r="D10" s="23"/>
      <c r="E10" s="19"/>
      <c r="F10" s="24"/>
      <c r="G10" s="50" t="s">
        <v>153</v>
      </c>
      <c r="H10" s="35" t="s">
        <v>154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/>
      <c r="W10" s="9"/>
    </row>
    <row r="11" spans="1:23">
      <c r="B11" s="34">
        <f t="shared" si="0"/>
        <v>9</v>
      </c>
      <c r="C11" s="18"/>
      <c r="D11" s="23"/>
      <c r="E11" s="19"/>
      <c r="F11" s="24"/>
      <c r="G11" s="15"/>
      <c r="H11" s="35" t="s">
        <v>70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/>
      <c r="W11" s="9"/>
    </row>
    <row r="12" spans="1:23">
      <c r="B12" s="34">
        <f t="shared" si="0"/>
        <v>10</v>
      </c>
      <c r="C12" s="18"/>
      <c r="D12" s="23"/>
      <c r="E12" s="19"/>
      <c r="F12" s="24"/>
      <c r="G12" s="50" t="s">
        <v>153</v>
      </c>
      <c r="H12" s="35" t="s">
        <v>154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36" t="s">
        <v>147</v>
      </c>
      <c r="U12" s="9"/>
      <c r="V12" s="9"/>
      <c r="W12" s="9"/>
    </row>
    <row r="13" spans="1:23">
      <c r="B13" s="34">
        <f t="shared" si="0"/>
        <v>11</v>
      </c>
      <c r="C13" s="18"/>
      <c r="D13" s="23"/>
      <c r="E13" s="19"/>
      <c r="F13" s="24"/>
      <c r="G13" s="15"/>
      <c r="H13" s="35" t="s">
        <v>70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4" t="s">
        <v>143</v>
      </c>
      <c r="T13" s="36" t="s">
        <v>147</v>
      </c>
      <c r="U13" s="9"/>
      <c r="V13" s="9"/>
      <c r="W13" s="9"/>
    </row>
  </sheetData>
  <phoneticPr fontId="1"/>
  <hyperlinks>
    <hyperlink ref="T4" r:id="rId1" tooltip="http://docs.aws.amazon.com/AWSCloudFormation/latest/UserGuide/aws-properties-ec2-eip.html" xr:uid="{D5E73951-C8B1-4F19-8208-0C8868418CA8}"/>
    <hyperlink ref="T6" r:id="rId2" location="cfn-ec2-eip-domain" tooltip="http://docs.aws.amazon.com/AWSCloudFormation/latest/UserGuide/aws-properties-ec2-eip.html#cfn-ec2-eip-domain" xr:uid="{904A6C99-A02B-4C0C-895C-067AB10A2D83}"/>
    <hyperlink ref="T7" r:id="rId3" location="cfn-ec2-eip-instanceid" tooltip="http://docs.aws.amazon.com/AWSCloudFormation/latest/UserGuide/aws-properties-ec2-eip.html#cfn-ec2-eip-instanceid" xr:uid="{D1F7A43E-E57F-40EC-BC1D-D47E17EEDDC6}"/>
    <hyperlink ref="T8" r:id="rId4" location="cfn-ec2-eip-publicipv4pool" tooltip="http://docs.aws.amazon.com/AWSCloudFormation/latest/UserGuide/aws-properties-ec2-eip.html#cfn-ec2-eip-publicipv4pool" xr:uid="{51A97BC9-65D8-4417-A95F-CF407D033425}"/>
    <hyperlink ref="T9" r:id="rId5" location="cfn-ec2-eip-tags" tooltip="http://docs.aws.amazon.com/AWSCloudFormation/latest/UserGuide/aws-properties-ec2-eip.html#cfn-ec2-eip-tags" xr:uid="{649D3B5C-6F25-4C27-96C5-FB6B1A08A5B4}"/>
    <hyperlink ref="T10" r:id="rId6" location="cfn-resource-tags-key" tooltip="http://docs.aws.amazon.com/AWSCloudFormation/latest/UserGuide/aws-properties-resource-tags.html#cfn-resource-tags-key" xr:uid="{2AC8C347-3C00-474A-B3AC-30023F1CAF73}"/>
    <hyperlink ref="T11" r:id="rId7" location="cfn-resource-tags-value" tooltip="http://docs.aws.amazon.com/AWSCloudFormation/latest/UserGuide/aws-properties-resource-tags.html#cfn-resource-tags-value" xr:uid="{CE03296B-306A-490F-8EE7-214C9FDC7633}"/>
    <hyperlink ref="T12" r:id="rId8" location="cfn-resource-tags-key" tooltip="http://docs.aws.amazon.com/AWSCloudFormation/latest/UserGuide/aws-properties-resource-tags.html#cfn-resource-tags-key" xr:uid="{8D519FCA-9481-4B00-B2E7-53D5CDAB210E}"/>
    <hyperlink ref="T13" r:id="rId9" location="cfn-resource-tags-value" tooltip="http://docs.aws.amazon.com/AWSCloudFormation/latest/UserGuide/aws-properties-resource-tags.html#cfn-resource-tags-value" xr:uid="{FBB53EBF-DA9D-4B59-ADB5-B1521005CD0E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1E61-BADF-4DEE-BAAE-9E7D23733B3A}">
  <sheetPr codeName="Sheet129"/>
  <dimension ref="A1:W12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2" sqref="V2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8" style="8" bestFit="1" customWidth="1"/>
    <col min="23" max="23" width="28.125" bestFit="1" customWidth="1"/>
  </cols>
  <sheetData>
    <row r="1" spans="1:23">
      <c r="A1" s="14" t="s">
        <v>141</v>
      </c>
      <c r="W1" s="8" t="s">
        <v>373</v>
      </c>
    </row>
    <row r="2" spans="1:23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>"Value" &amp; COLUMN() -  21</f>
        <v>Value2</v>
      </c>
    </row>
    <row r="3" spans="1:23">
      <c r="B3" s="34">
        <f t="shared" ref="B3:B12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/>
      <c r="W3" s="9" t="str">
        <f>Setting!$D$10&amp;"-"&amp;RIGHT($E$4,LEN($E$4)-FIND(";",SUBSTITUTE($E$4,":",";",LEN($E$4)-LEN(SUBSTITUTE($E$4,":","")))))</f>
        <v>mirai-NatGateway</v>
      </c>
    </row>
    <row r="4" spans="1:23">
      <c r="B4" s="34">
        <f t="shared" si="0"/>
        <v>2</v>
      </c>
      <c r="C4" s="18"/>
      <c r="D4" s="23"/>
      <c r="E4" s="37" t="s">
        <v>303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</row>
    <row r="5" spans="1:23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</row>
    <row r="6" spans="1:23">
      <c r="B6" s="34">
        <f t="shared" si="0"/>
        <v>4</v>
      </c>
      <c r="C6" s="18"/>
      <c r="D6" s="23"/>
      <c r="E6" s="19"/>
      <c r="F6" s="35" t="s">
        <v>304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/>
      <c r="W6" s="9" t="str">
        <f>" !GetAtt "&amp;SUBSTITUTE(EIP!$W$3,"-","")&amp;".AllocationId"</f>
        <v xml:space="preserve"> !GetAtt miraiEIP.AllocationId</v>
      </c>
    </row>
    <row r="7" spans="1:23">
      <c r="B7" s="34">
        <f t="shared" si="0"/>
        <v>5</v>
      </c>
      <c r="C7" s="18"/>
      <c r="D7" s="23"/>
      <c r="E7" s="19"/>
      <c r="F7" s="35" t="s">
        <v>180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  <c r="W7" s="9" t="str">
        <f>Subnet!$Y$3</f>
        <v>mirai-Subnet-Public01</v>
      </c>
    </row>
    <row r="8" spans="1:23">
      <c r="B8" s="34">
        <f t="shared" si="0"/>
        <v>6</v>
      </c>
      <c r="C8" s="18"/>
      <c r="D8" s="23"/>
      <c r="E8" s="19"/>
      <c r="F8" s="40" t="s">
        <v>2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5"/>
      <c r="S8" s="41" t="s">
        <v>146</v>
      </c>
      <c r="T8" s="42" t="s">
        <v>147</v>
      </c>
      <c r="U8" s="26"/>
      <c r="V8" s="26"/>
      <c r="W8" s="26"/>
    </row>
    <row r="9" spans="1:23">
      <c r="B9" s="34">
        <f t="shared" si="0"/>
        <v>7</v>
      </c>
      <c r="C9" s="18"/>
      <c r="D9" s="23"/>
      <c r="E9" s="19"/>
      <c r="F9" s="24"/>
      <c r="G9" s="50" t="s">
        <v>153</v>
      </c>
      <c r="H9" s="35" t="s">
        <v>154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36" t="s">
        <v>147</v>
      </c>
      <c r="U9" s="9"/>
      <c r="V9" s="9"/>
      <c r="W9" s="9"/>
    </row>
    <row r="10" spans="1:23">
      <c r="B10" s="34">
        <f t="shared" si="0"/>
        <v>8</v>
      </c>
      <c r="C10" s="18"/>
      <c r="D10" s="23"/>
      <c r="E10" s="19"/>
      <c r="F10" s="24"/>
      <c r="G10" s="15"/>
      <c r="H10" s="35" t="s">
        <v>70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/>
      <c r="W10" s="9"/>
    </row>
    <row r="11" spans="1:23">
      <c r="B11" s="34">
        <f t="shared" si="0"/>
        <v>9</v>
      </c>
      <c r="C11" s="18"/>
      <c r="D11" s="23"/>
      <c r="E11" s="19"/>
      <c r="F11" s="24"/>
      <c r="G11" s="50" t="s">
        <v>153</v>
      </c>
      <c r="H11" s="35" t="s">
        <v>154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/>
      <c r="W11" s="9"/>
    </row>
    <row r="12" spans="1:23">
      <c r="B12" s="34">
        <f t="shared" si="0"/>
        <v>10</v>
      </c>
      <c r="C12" s="18"/>
      <c r="D12" s="23"/>
      <c r="E12" s="19"/>
      <c r="F12" s="24"/>
      <c r="G12" s="15"/>
      <c r="H12" s="35" t="s">
        <v>70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36" t="s">
        <v>147</v>
      </c>
      <c r="U12" s="9"/>
      <c r="V12" s="9"/>
      <c r="W12" s="9"/>
    </row>
  </sheetData>
  <phoneticPr fontId="1"/>
  <hyperlinks>
    <hyperlink ref="T4" r:id="rId1" tooltip="http://docs.aws.amazon.com/AWSCloudFormation/latest/UserGuide/aws-resource-ec2-natgateway.html" xr:uid="{5FD0AC26-C640-4663-B0A9-4F2EA622253C}"/>
    <hyperlink ref="T6" r:id="rId2" location="cfn-ec2-natgateway-allocationid" tooltip="http://docs.aws.amazon.com/AWSCloudFormation/latest/UserGuide/aws-resource-ec2-natgateway.html#cfn-ec2-natgateway-allocationid" xr:uid="{E8E10E21-1EA9-4369-9C6D-503123B84954}"/>
    <hyperlink ref="T7" r:id="rId3" location="cfn-ec2-natgateway-subnetid" tooltip="http://docs.aws.amazon.com/AWSCloudFormation/latest/UserGuide/aws-resource-ec2-natgateway.html#cfn-ec2-natgateway-subnetid" xr:uid="{29D03E2A-D2AB-49E7-830D-870CBDB84F53}"/>
    <hyperlink ref="T8" r:id="rId4" location="cfn-ec2-natgateway-tags" tooltip="http://docs.aws.amazon.com/AWSCloudFormation/latest/UserGuide/aws-resource-ec2-natgateway.html#cfn-ec2-natgateway-tags" xr:uid="{00ECDD21-C306-4406-BAA5-D98168A5A6EA}"/>
    <hyperlink ref="T9" r:id="rId5" location="cfn-resource-tags-key" tooltip="http://docs.aws.amazon.com/AWSCloudFormation/latest/UserGuide/aws-properties-resource-tags.html#cfn-resource-tags-key" xr:uid="{66661844-BF03-44B9-9701-17081C95A3C0}"/>
    <hyperlink ref="T10" r:id="rId6" location="cfn-resource-tags-value" tooltip="http://docs.aws.amazon.com/AWSCloudFormation/latest/UserGuide/aws-properties-resource-tags.html#cfn-resource-tags-value" xr:uid="{04C57689-D791-4942-AD92-15F885B73A7D}"/>
    <hyperlink ref="T11" r:id="rId7" location="cfn-resource-tags-key" tooltip="http://docs.aws.amazon.com/AWSCloudFormation/latest/UserGuide/aws-properties-resource-tags.html#cfn-resource-tags-key" xr:uid="{5F8CAAF1-F29C-4328-951E-9B3AF34B70EB}"/>
    <hyperlink ref="T12" r:id="rId8" location="cfn-resource-tags-value" tooltip="http://docs.aws.amazon.com/AWSCloudFormation/latest/UserGuide/aws-properties-resource-tags.html#cfn-resource-tags-value" xr:uid="{1D61D447-9F9D-42B3-9D4C-07DB57E2593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60BBC-50D1-4B1E-AC13-41BD93124E14}">
  <sheetPr codeName="Sheet130"/>
  <dimension ref="A1:Y11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4" width="26.75" bestFit="1" customWidth="1"/>
    <col min="25" max="25" width="26.375" bestFit="1" customWidth="1"/>
  </cols>
  <sheetData>
    <row r="1" spans="1:25">
      <c r="A1" s="14" t="s">
        <v>141</v>
      </c>
    </row>
    <row r="2" spans="1:25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 t="shared" ref="W2:Y2" si="0">"Value" &amp; COLUMN() -  21</f>
        <v>Value2</v>
      </c>
      <c r="X2" s="7" t="str">
        <f t="shared" si="0"/>
        <v>Value3</v>
      </c>
      <c r="Y2" s="7" t="str">
        <f t="shared" si="0"/>
        <v>Value4</v>
      </c>
    </row>
    <row r="3" spans="1:25">
      <c r="B3" s="34">
        <f t="shared" ref="B3:B11" si="1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Setting!$D$10&amp;"-"&amp;RIGHT($E$4,LEN($E$4)-FIND(";",SUBSTITUTE($E$4,":",";",LEN($E$4)-LEN(SUBSTITUTE($E$4,":","")))))&amp;"-Private01"</f>
        <v>mirai-RouteTable-Private01</v>
      </c>
      <c r="W3" s="9" t="str">
        <f>Setting!$D$10&amp;"-"&amp;RIGHT($E$4,LEN($E$4)-FIND(";",SUBSTITUTE($E$4,":",";",LEN($E$4)-LEN(SUBSTITUTE($E$4,":","")))))&amp;"-Private02"</f>
        <v>mirai-RouteTable-Private02</v>
      </c>
      <c r="X3" s="9" t="str">
        <f>Setting!$D$10&amp;"-"&amp;RIGHT($E$4,LEN($E$4)-FIND(";",SUBSTITUTE($E$4,":",";",LEN($E$4)-LEN(SUBSTITUTE($E$4,":","")))))&amp;"-Private03"</f>
        <v>mirai-RouteTable-Private03</v>
      </c>
      <c r="Y3" s="9" t="str">
        <f>Setting!$D$10&amp;"-"&amp;RIGHT($E$4,LEN($E$4)-FIND(";",SUBSTITUTE($E$4,":",";",LEN($E$4)-LEN(SUBSTITUTE($E$4,":","")))))&amp;"-Public"</f>
        <v>mirai-RouteTable-Public</v>
      </c>
    </row>
    <row r="4" spans="1:25">
      <c r="B4" s="34">
        <f t="shared" si="1"/>
        <v>2</v>
      </c>
      <c r="C4" s="18"/>
      <c r="D4" s="23"/>
      <c r="E4" s="37" t="s">
        <v>305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  <c r="X4" s="22"/>
      <c r="Y4" s="22"/>
    </row>
    <row r="5" spans="1:25">
      <c r="B5" s="34">
        <f t="shared" si="1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  <c r="X5" s="22"/>
      <c r="Y5" s="22"/>
    </row>
    <row r="6" spans="1:25">
      <c r="B6" s="34">
        <f t="shared" si="1"/>
        <v>4</v>
      </c>
      <c r="C6" s="18"/>
      <c r="D6" s="23"/>
      <c r="E6" s="19"/>
      <c r="F6" s="40" t="s">
        <v>2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5"/>
      <c r="S6" s="41" t="s">
        <v>146</v>
      </c>
      <c r="T6" s="42" t="s">
        <v>147</v>
      </c>
      <c r="U6" s="26"/>
      <c r="V6" s="26"/>
      <c r="W6" s="26"/>
      <c r="X6" s="26"/>
      <c r="Y6" s="26"/>
    </row>
    <row r="7" spans="1:25">
      <c r="B7" s="34">
        <f t="shared" si="1"/>
        <v>5</v>
      </c>
      <c r="C7" s="18"/>
      <c r="D7" s="23"/>
      <c r="E7" s="19"/>
      <c r="F7" s="24"/>
      <c r="G7" s="50" t="s">
        <v>153</v>
      </c>
      <c r="H7" s="35" t="s">
        <v>154</v>
      </c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  <c r="W7" s="9"/>
      <c r="X7" s="9"/>
      <c r="Y7" s="9"/>
    </row>
    <row r="8" spans="1:25">
      <c r="B8" s="34">
        <f t="shared" si="1"/>
        <v>6</v>
      </c>
      <c r="C8" s="18"/>
      <c r="D8" s="23"/>
      <c r="E8" s="19"/>
      <c r="F8" s="24"/>
      <c r="G8" s="15"/>
      <c r="H8" s="35" t="s">
        <v>70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36" t="s">
        <v>147</v>
      </c>
      <c r="U8" s="9"/>
      <c r="V8" s="9"/>
      <c r="W8" s="9"/>
      <c r="X8" s="9"/>
      <c r="Y8" s="9"/>
    </row>
    <row r="9" spans="1:25">
      <c r="B9" s="34">
        <f t="shared" si="1"/>
        <v>7</v>
      </c>
      <c r="C9" s="18"/>
      <c r="D9" s="23"/>
      <c r="E9" s="19"/>
      <c r="F9" s="24"/>
      <c r="G9" s="50" t="s">
        <v>153</v>
      </c>
      <c r="H9" s="35" t="s">
        <v>154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36" t="s">
        <v>147</v>
      </c>
      <c r="U9" s="9"/>
      <c r="V9" s="9"/>
      <c r="W9" s="9"/>
      <c r="X9" s="9"/>
      <c r="Y9" s="9"/>
    </row>
    <row r="10" spans="1:25">
      <c r="B10" s="34">
        <f t="shared" si="1"/>
        <v>8</v>
      </c>
      <c r="C10" s="18"/>
      <c r="D10" s="23"/>
      <c r="E10" s="19"/>
      <c r="F10" s="24"/>
      <c r="G10" s="15"/>
      <c r="H10" s="35" t="s">
        <v>70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/>
      <c r="W10" s="9"/>
      <c r="X10" s="9"/>
      <c r="Y10" s="9"/>
    </row>
    <row r="11" spans="1:25">
      <c r="B11" s="34">
        <f t="shared" si="1"/>
        <v>9</v>
      </c>
      <c r="C11" s="18"/>
      <c r="D11" s="23"/>
      <c r="E11" s="19"/>
      <c r="F11" s="35" t="s">
        <v>160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 t="str">
        <f>VPC!$V$3</f>
        <v>mirai-VPC</v>
      </c>
      <c r="W11" s="9" t="str">
        <f>VPC!$V$3</f>
        <v>mirai-VPC</v>
      </c>
      <c r="X11" s="9" t="str">
        <f>VPC!$V$3</f>
        <v>mirai-VPC</v>
      </c>
      <c r="Y11" s="9" t="str">
        <f>VPC!$V$3</f>
        <v>mirai-VPC</v>
      </c>
    </row>
  </sheetData>
  <phoneticPr fontId="1"/>
  <hyperlinks>
    <hyperlink ref="T4" r:id="rId1" tooltip="http://docs.aws.amazon.com/AWSCloudFormation/latest/UserGuide/aws-resource-ec2-route-table.html" xr:uid="{6314B07F-85F4-4261-81C7-3C3198223FA7}"/>
    <hyperlink ref="T6" r:id="rId2" location="cfn-ec2-routetable-tags" tooltip="http://docs.aws.amazon.com/AWSCloudFormation/latest/UserGuide/aws-resource-ec2-route-table.html#cfn-ec2-routetable-tags" xr:uid="{39687386-77B2-4EFB-9698-2E68596937FA}"/>
    <hyperlink ref="T7" r:id="rId3" location="cfn-resource-tags-key" tooltip="http://docs.aws.amazon.com/AWSCloudFormation/latest/UserGuide/aws-properties-resource-tags.html#cfn-resource-tags-key" xr:uid="{23DAF2BB-71D6-4850-B6C2-1BBE99DE9B61}"/>
    <hyperlink ref="T8" r:id="rId4" location="cfn-resource-tags-value" tooltip="http://docs.aws.amazon.com/AWSCloudFormation/latest/UserGuide/aws-properties-resource-tags.html#cfn-resource-tags-value" xr:uid="{114867FC-AFA7-459A-A084-94C6CCE6D179}"/>
    <hyperlink ref="T9" r:id="rId5" location="cfn-resource-tags-key" tooltip="http://docs.aws.amazon.com/AWSCloudFormation/latest/UserGuide/aws-properties-resource-tags.html#cfn-resource-tags-key" xr:uid="{C73825A8-4DE6-4347-BD28-E74FA532BA83}"/>
    <hyperlink ref="T10" r:id="rId6" location="cfn-resource-tags-value" tooltip="http://docs.aws.amazon.com/AWSCloudFormation/latest/UserGuide/aws-properties-resource-tags.html#cfn-resource-tags-value" xr:uid="{9A03123A-6DF3-4BA2-8EF6-565374335EFD}"/>
    <hyperlink ref="T11" r:id="rId7" location="cfn-ec2-routetable-vpcid" tooltip="http://docs.aws.amazon.com/AWSCloudFormation/latest/UserGuide/aws-resource-ec2-route-table.html#cfn-ec2-routetable-vpcid" xr:uid="{C233471C-146C-482E-90A6-1993DE534BA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53427-20C0-4E56-AF87-2E963E5E4E81}">
  <sheetPr codeName="Sheet131"/>
  <dimension ref="A1:Z18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W2" sqref="W2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4.125" bestFit="1" customWidth="1"/>
    <col min="23" max="23" width="8" style="8" bestFit="1" customWidth="1"/>
    <col min="24" max="26" width="26.75" bestFit="1" customWidth="1"/>
  </cols>
  <sheetData>
    <row r="1" spans="1:26">
      <c r="A1" s="14" t="s">
        <v>141</v>
      </c>
      <c r="X1" s="8" t="s">
        <v>373</v>
      </c>
      <c r="Y1" s="8" t="s">
        <v>373</v>
      </c>
      <c r="Z1" s="8" t="s">
        <v>373</v>
      </c>
    </row>
    <row r="2" spans="1:26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>"Value" &amp; COLUMN() -  21</f>
        <v>Value2</v>
      </c>
      <c r="X2" s="7" t="str">
        <f>"Value" &amp; COLUMN() -  21</f>
        <v>Value3</v>
      </c>
      <c r="Y2" s="7" t="str">
        <f>"Value" &amp; COLUMN() -  21</f>
        <v>Value4</v>
      </c>
      <c r="Z2" s="7" t="str">
        <f>"Value" &amp; COLUMN() -  21</f>
        <v>Value5</v>
      </c>
    </row>
    <row r="3" spans="1:26">
      <c r="B3" s="34">
        <f t="shared" ref="B3:B18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Setting!$D$10&amp;"-"&amp;RIGHT($E$4,LEN($E$4)-FIND(";",SUBSTITUTE($E$4,":",";",LEN($E$4)-LEN(SUBSTITUTE($E$4,":","")))))&amp;RIGHT("0"&amp;(COLUMN()-21),2)</f>
        <v>mirai-Route01</v>
      </c>
      <c r="W3" s="9"/>
      <c r="X3" s="9" t="str">
        <f>Setting!$D$10&amp;"-"&amp;RIGHT($E$4,LEN($E$4)-FIND(";",SUBSTITUTE($E$4,":",";",LEN($E$4)-LEN(SUBSTITUTE($E$4,":","")))))&amp;RIGHT("0"&amp;(COLUMN()-21),2)</f>
        <v>mirai-Route03</v>
      </c>
      <c r="Y3" s="9" t="str">
        <f>Setting!$D$10&amp;"-"&amp;RIGHT($E$4,LEN($E$4)-FIND(";",SUBSTITUTE($E$4,":",";",LEN($E$4)-LEN(SUBSTITUTE($E$4,":","")))))&amp;RIGHT("0"&amp;(COLUMN()-21),2)</f>
        <v>mirai-Route04</v>
      </c>
      <c r="Z3" s="9" t="str">
        <f>Setting!$D$10&amp;"-"&amp;RIGHT($E$4,LEN($E$4)-FIND(";",SUBSTITUTE($E$4,":",";",LEN($E$4)-LEN(SUBSTITUTE($E$4,":","")))))&amp;RIGHT("0"&amp;(COLUMN()-21),2)</f>
        <v>mirai-Route05</v>
      </c>
    </row>
    <row r="4" spans="1:26">
      <c r="B4" s="34">
        <f t="shared" si="0"/>
        <v>2</v>
      </c>
      <c r="C4" s="18"/>
      <c r="D4" s="23"/>
      <c r="E4" s="37" t="s">
        <v>168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  <c r="X4" s="22"/>
      <c r="Y4" s="22"/>
      <c r="Z4" s="22"/>
    </row>
    <row r="5" spans="1:26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  <c r="X5" s="22"/>
      <c r="Y5" s="22"/>
      <c r="Z5" s="22"/>
    </row>
    <row r="6" spans="1:26">
      <c r="B6" s="34">
        <f t="shared" si="0"/>
        <v>4</v>
      </c>
      <c r="C6" s="18"/>
      <c r="D6" s="23"/>
      <c r="E6" s="19"/>
      <c r="F6" s="35" t="s">
        <v>306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/>
      <c r="W6" s="9"/>
      <c r="X6" s="9"/>
      <c r="Y6" s="9"/>
      <c r="Z6" s="9"/>
    </row>
    <row r="7" spans="1:26">
      <c r="B7" s="34">
        <f t="shared" si="0"/>
        <v>5</v>
      </c>
      <c r="C7" s="18"/>
      <c r="D7" s="23"/>
      <c r="E7" s="19"/>
      <c r="F7" s="35" t="s">
        <v>169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 t="s">
        <v>356</v>
      </c>
      <c r="W7" s="9"/>
      <c r="X7" s="9" t="s">
        <v>356</v>
      </c>
      <c r="Y7" s="9" t="s">
        <v>356</v>
      </c>
      <c r="Z7" s="9" t="s">
        <v>356</v>
      </c>
    </row>
    <row r="8" spans="1:26">
      <c r="B8" s="34">
        <f t="shared" si="0"/>
        <v>6</v>
      </c>
      <c r="C8" s="18"/>
      <c r="D8" s="23"/>
      <c r="E8" s="19"/>
      <c r="F8" s="35" t="s">
        <v>170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36" t="s">
        <v>147</v>
      </c>
      <c r="U8" s="9"/>
      <c r="V8" s="9"/>
      <c r="W8" s="9"/>
      <c r="X8" s="9"/>
      <c r="Y8" s="9"/>
      <c r="Z8" s="9"/>
    </row>
    <row r="9" spans="1:26">
      <c r="B9" s="34">
        <f t="shared" si="0"/>
        <v>7</v>
      </c>
      <c r="C9" s="18"/>
      <c r="D9" s="23"/>
      <c r="E9" s="19"/>
      <c r="F9" s="35" t="s">
        <v>171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36" t="s">
        <v>147</v>
      </c>
      <c r="U9" s="9"/>
      <c r="V9" s="9"/>
      <c r="W9" s="9"/>
      <c r="X9" s="9"/>
      <c r="Y9" s="9"/>
      <c r="Z9" s="9"/>
    </row>
    <row r="10" spans="1:26">
      <c r="B10" s="34">
        <f t="shared" si="0"/>
        <v>8</v>
      </c>
      <c r="C10" s="18"/>
      <c r="D10" s="23"/>
      <c r="E10" s="19"/>
      <c r="F10" s="35" t="s">
        <v>172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 t="str">
        <f>InternetGateway!$V$3</f>
        <v>mirai-InternetGateway</v>
      </c>
      <c r="W10" s="9"/>
      <c r="X10" s="9"/>
      <c r="Y10" s="9"/>
      <c r="Z10" s="9"/>
    </row>
    <row r="11" spans="1:26">
      <c r="B11" s="34">
        <f t="shared" si="0"/>
        <v>9</v>
      </c>
      <c r="C11" s="18"/>
      <c r="D11" s="23"/>
      <c r="E11" s="19"/>
      <c r="F11" s="35" t="s">
        <v>173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/>
      <c r="W11" s="9"/>
      <c r="X11" s="9"/>
      <c r="Y11" s="9"/>
      <c r="Z11" s="9"/>
    </row>
    <row r="12" spans="1:26">
      <c r="B12" s="34">
        <f t="shared" si="0"/>
        <v>10</v>
      </c>
      <c r="C12" s="18"/>
      <c r="D12" s="23"/>
      <c r="E12" s="19"/>
      <c r="F12" s="35" t="s">
        <v>307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36" t="s">
        <v>147</v>
      </c>
      <c r="U12" s="9"/>
      <c r="V12" s="9"/>
      <c r="W12" s="9"/>
      <c r="X12" s="9"/>
      <c r="Y12" s="9"/>
      <c r="Z12" s="9"/>
    </row>
    <row r="13" spans="1:26">
      <c r="B13" s="34">
        <f t="shared" si="0"/>
        <v>11</v>
      </c>
      <c r="C13" s="18"/>
      <c r="D13" s="23"/>
      <c r="E13" s="19"/>
      <c r="F13" s="35" t="s">
        <v>174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4" t="s">
        <v>143</v>
      </c>
      <c r="T13" s="36" t="s">
        <v>147</v>
      </c>
      <c r="U13" s="9"/>
      <c r="V13" s="9"/>
      <c r="W13" s="9"/>
      <c r="X13" s="9" t="str">
        <f>NatGateway!$W$3</f>
        <v>mirai-NatGateway</v>
      </c>
      <c r="Y13" s="9" t="str">
        <f>NatGateway!$W$3</f>
        <v>mirai-NatGateway</v>
      </c>
      <c r="Z13" s="9" t="str">
        <f>NatGateway!$W$3</f>
        <v>mirai-NatGateway</v>
      </c>
    </row>
    <row r="14" spans="1:26">
      <c r="B14" s="34">
        <f t="shared" si="0"/>
        <v>12</v>
      </c>
      <c r="C14" s="18"/>
      <c r="D14" s="23"/>
      <c r="E14" s="19"/>
      <c r="F14" s="35" t="s">
        <v>175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4" t="s">
        <v>143</v>
      </c>
      <c r="T14" s="36" t="s">
        <v>147</v>
      </c>
      <c r="U14" s="9"/>
      <c r="V14" s="9"/>
      <c r="W14" s="9"/>
      <c r="X14" s="9"/>
      <c r="Y14" s="9"/>
      <c r="Z14" s="9"/>
    </row>
    <row r="15" spans="1:26">
      <c r="B15" s="34">
        <f t="shared" si="0"/>
        <v>13</v>
      </c>
      <c r="C15" s="18"/>
      <c r="D15" s="23"/>
      <c r="E15" s="19"/>
      <c r="F15" s="35" t="s">
        <v>176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4" t="s">
        <v>143</v>
      </c>
      <c r="T15" s="36" t="s">
        <v>147</v>
      </c>
      <c r="U15" s="9"/>
      <c r="V15" s="9" t="str">
        <f>RouteTable!$Y$3</f>
        <v>mirai-RouteTable-Public</v>
      </c>
      <c r="W15" s="9"/>
      <c r="X15" s="9" t="str">
        <f>RouteTable!$V$3</f>
        <v>mirai-RouteTable-Private01</v>
      </c>
      <c r="Y15" s="9" t="str">
        <f>RouteTable!$W$3</f>
        <v>mirai-RouteTable-Private02</v>
      </c>
      <c r="Z15" s="9" t="str">
        <f>RouteTable!$X$3</f>
        <v>mirai-RouteTable-Private03</v>
      </c>
    </row>
    <row r="16" spans="1:26">
      <c r="B16" s="34">
        <f t="shared" si="0"/>
        <v>14</v>
      </c>
      <c r="C16" s="18"/>
      <c r="D16" s="23"/>
      <c r="E16" s="19"/>
      <c r="F16" s="35" t="s">
        <v>177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4" t="s">
        <v>143</v>
      </c>
      <c r="T16" s="36" t="s">
        <v>147</v>
      </c>
      <c r="U16" s="9"/>
      <c r="V16" s="9"/>
      <c r="W16" s="9"/>
      <c r="X16" s="9"/>
      <c r="Y16" s="9"/>
      <c r="Z16" s="9"/>
    </row>
    <row r="17" spans="2:26">
      <c r="B17" s="34">
        <f t="shared" si="0"/>
        <v>15</v>
      </c>
      <c r="C17" s="18"/>
      <c r="D17" s="23"/>
      <c r="E17" s="19"/>
      <c r="F17" s="35" t="s">
        <v>308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34" t="s">
        <v>143</v>
      </c>
      <c r="T17" s="36" t="s">
        <v>147</v>
      </c>
      <c r="U17" s="9"/>
      <c r="V17" s="9"/>
      <c r="W17" s="9"/>
      <c r="X17" s="9"/>
      <c r="Y17" s="9"/>
      <c r="Z17" s="9"/>
    </row>
    <row r="18" spans="2:26">
      <c r="B18" s="34">
        <f t="shared" si="0"/>
        <v>16</v>
      </c>
      <c r="C18" s="18"/>
      <c r="D18" s="23"/>
      <c r="E18" s="19"/>
      <c r="F18" s="35" t="s">
        <v>178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34" t="s">
        <v>143</v>
      </c>
      <c r="T18" s="36" t="s">
        <v>147</v>
      </c>
      <c r="U18" s="9"/>
      <c r="V18" s="9"/>
      <c r="W18" s="9"/>
      <c r="X18" s="9"/>
      <c r="Y18" s="9"/>
      <c r="Z18" s="9"/>
    </row>
  </sheetData>
  <phoneticPr fontId="1"/>
  <hyperlinks>
    <hyperlink ref="T4" r:id="rId1" tooltip="http://docs.aws.amazon.com/AWSCloudFormation/latest/UserGuide/aws-resource-ec2-route.html" xr:uid="{7EF4AD2A-4F8E-4556-854A-917BD9DF051D}"/>
    <hyperlink ref="T6" r:id="rId2" location="cfn-ec2-route-carriergatewayid" tooltip="http://docs.aws.amazon.com/AWSCloudFormation/latest/UserGuide/aws-resource-ec2-route.html#cfn-ec2-route-carriergatewayid" xr:uid="{25892135-4ECC-4FD3-B97B-D3D6860F49B6}"/>
    <hyperlink ref="T7" r:id="rId3" location="cfn-ec2-route-destinationcidrblock" tooltip="http://docs.aws.amazon.com/AWSCloudFormation/latest/UserGuide/aws-resource-ec2-route.html#cfn-ec2-route-destinationcidrblock" xr:uid="{D9962E21-F074-4D00-8B05-DC6424BAD453}"/>
    <hyperlink ref="T8" r:id="rId4" location="cfn-ec2-route-destinationipv6cidrblock" tooltip="http://docs.aws.amazon.com/AWSCloudFormation/latest/UserGuide/aws-resource-ec2-route.html#cfn-ec2-route-destinationipv6cidrblock" xr:uid="{0FD3BED6-28EB-47BA-85B6-CB0DF7D38297}"/>
    <hyperlink ref="T9" r:id="rId5" location="cfn-ec2-route-egressonlyinternetgatewayid" tooltip="http://docs.aws.amazon.com/AWSCloudFormation/latest/UserGuide/aws-resource-ec2-route.html#cfn-ec2-route-egressonlyinternetgatewayid" xr:uid="{21ACBFED-6C54-43B6-978A-4C63C616B655}"/>
    <hyperlink ref="T10" r:id="rId6" location="cfn-ec2-route-gatewayid" tooltip="http://docs.aws.amazon.com/AWSCloudFormation/latest/UserGuide/aws-resource-ec2-route.html#cfn-ec2-route-gatewayid" xr:uid="{8C812930-A5AA-4713-A9AF-3D1F3F11286B}"/>
    <hyperlink ref="T11" r:id="rId7" location="cfn-ec2-route-instanceid" tooltip="http://docs.aws.amazon.com/AWSCloudFormation/latest/UserGuide/aws-resource-ec2-route.html#cfn-ec2-route-instanceid" xr:uid="{69C9AEF8-7DA8-4465-8D1A-D194AE70BA45}"/>
    <hyperlink ref="T12" r:id="rId8" location="cfn-ec2-route-localgatewayid" tooltip="http://docs.aws.amazon.com/AWSCloudFormation/latest/UserGuide/aws-resource-ec2-route.html#cfn-ec2-route-localgatewayid" xr:uid="{6E9E8E04-BDD8-4B78-AE1D-AA56BBFB459A}"/>
    <hyperlink ref="T13" r:id="rId9" location="cfn-ec2-route-natgatewayid" tooltip="http://docs.aws.amazon.com/AWSCloudFormation/latest/UserGuide/aws-resource-ec2-route.html#cfn-ec2-route-natgatewayid" xr:uid="{985C6037-E65B-4BB4-99EF-A3290882E61C}"/>
    <hyperlink ref="T14" r:id="rId10" location="cfn-ec2-route-networkinterfaceid" tooltip="http://docs.aws.amazon.com/AWSCloudFormation/latest/UserGuide/aws-resource-ec2-route.html#cfn-ec2-route-networkinterfaceid" xr:uid="{0057CE22-3405-450F-88FA-F5BA3ECD5F5F}"/>
    <hyperlink ref="T15" r:id="rId11" location="cfn-ec2-route-routetableid" tooltip="http://docs.aws.amazon.com/AWSCloudFormation/latest/UserGuide/aws-resource-ec2-route.html#cfn-ec2-route-routetableid" xr:uid="{1370D4EE-671E-496A-845E-86CEF2FF24A0}"/>
    <hyperlink ref="T16" r:id="rId12" location="cfn-ec2-route-transitgatewayid" tooltip="http://docs.aws.amazon.com/AWSCloudFormation/latest/UserGuide/aws-resource-ec2-route.html#cfn-ec2-route-transitgatewayid" xr:uid="{4C517907-6DC5-4851-95F0-799982D7D3CE}"/>
    <hyperlink ref="T17" r:id="rId13" location="cfn-ec2-route-vpcendpointid" tooltip="http://docs.aws.amazon.com/AWSCloudFormation/latest/UserGuide/aws-resource-ec2-route.html#cfn-ec2-route-vpcendpointid" xr:uid="{9908DD66-19DA-44A1-8EDC-014C5D467620}"/>
    <hyperlink ref="T18" r:id="rId14" location="cfn-ec2-route-vpcpeeringconnectionid" tooltip="http://docs.aws.amazon.com/AWSCloudFormation/latest/UserGuide/aws-resource-ec2-route.html#cfn-ec2-route-vpcpeeringconnectionid" xr:uid="{EFFBFB37-ADAA-4B95-951F-91FDE1399EB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291F-C4D4-4942-BB4C-5A18F9F83A95}">
  <sheetPr codeName="Sheet132"/>
  <dimension ref="A1:AA7"/>
  <sheetViews>
    <sheetView showGridLines="0" workbookViewId="0">
      <pane xSplit="21" ySplit="4" topLeftCell="W5" activePane="bottomRight" state="frozen"/>
      <selection pane="topRight" activeCell="V1" sqref="V1"/>
      <selection pane="bottomLeft" activeCell="A5" sqref="A5"/>
      <selection pane="bottomRight" activeCell="AA8" sqref="AA8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7" width="25.5" customWidth="1"/>
  </cols>
  <sheetData>
    <row r="1" spans="1:27">
      <c r="A1" s="14" t="s">
        <v>141</v>
      </c>
    </row>
    <row r="2" spans="1:27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 t="shared" ref="W2:AA2" si="0">"Value" &amp; COLUMN() -  21</f>
        <v>Value2</v>
      </c>
      <c r="X2" s="7" t="str">
        <f t="shared" si="0"/>
        <v>Value3</v>
      </c>
      <c r="Y2" s="7" t="str">
        <f t="shared" si="0"/>
        <v>Value4</v>
      </c>
      <c r="Z2" s="7" t="str">
        <f t="shared" si="0"/>
        <v>Value5</v>
      </c>
      <c r="AA2" s="7" t="str">
        <f t="shared" si="0"/>
        <v>Value6</v>
      </c>
    </row>
    <row r="3" spans="1:27">
      <c r="B3" s="34">
        <f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Setting!$D$10&amp;"-"&amp;RIGHT($E$4,LEN($E$4)-FIND(";",SUBSTITUTE($E$4,":",";",LEN($E$4)-LEN(SUBSTITUTE($E$4,":","")))))&amp;RIGHT("0"&amp;(COLUMN()-21),2)</f>
        <v>mirai-SubnetRouteTableAssociation01</v>
      </c>
      <c r="W3" s="9" t="str">
        <f>Setting!$D$10&amp;"-"&amp;RIGHT($E$4,LEN($E$4)-FIND(";",SUBSTITUTE($E$4,":",";",LEN($E$4)-LEN(SUBSTITUTE($E$4,":","")))))&amp;RIGHT("0"&amp;(COLUMN()-21),2)</f>
        <v>mirai-SubnetRouteTableAssociation02</v>
      </c>
      <c r="X3" s="9" t="str">
        <f>Setting!$D$10&amp;"-"&amp;RIGHT($E$4,LEN($E$4)-FIND(";",SUBSTITUTE($E$4,":",";",LEN($E$4)-LEN(SUBSTITUTE($E$4,":","")))))&amp;RIGHT("0"&amp;(COLUMN()-21),2)</f>
        <v>mirai-SubnetRouteTableAssociation03</v>
      </c>
      <c r="Y3" s="9" t="str">
        <f>Setting!$D$10&amp;"-"&amp;RIGHT($E$4,LEN($E$4)-FIND(";",SUBSTITUTE($E$4,":",";",LEN($E$4)-LEN(SUBSTITUTE($E$4,":","")))))&amp;RIGHT("0"&amp;(COLUMN()-21),2)</f>
        <v>mirai-SubnetRouteTableAssociation04</v>
      </c>
      <c r="Z3" s="9" t="str">
        <f>Setting!$D$10&amp;"-"&amp;RIGHT($E$4,LEN($E$4)-FIND(";",SUBSTITUTE($E$4,":",";",LEN($E$4)-LEN(SUBSTITUTE($E$4,":","")))))&amp;RIGHT("0"&amp;(COLUMN()-21),2)</f>
        <v>mirai-SubnetRouteTableAssociation05</v>
      </c>
      <c r="AA3" s="9" t="str">
        <f>Setting!$D$10&amp;"-"&amp;RIGHT($E$4,LEN($E$4)-FIND(";",SUBSTITUTE($E$4,":",";",LEN($E$4)-LEN(SUBSTITUTE($E$4,":","")))))&amp;RIGHT("0"&amp;(COLUMN()-21),2)</f>
        <v>mirai-SubnetRouteTableAssociation06</v>
      </c>
    </row>
    <row r="4" spans="1:27">
      <c r="B4" s="34">
        <f>ROW()-2</f>
        <v>2</v>
      </c>
      <c r="C4" s="18"/>
      <c r="D4" s="23"/>
      <c r="E4" s="37" t="s">
        <v>179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  <c r="X4" s="22"/>
      <c r="Y4" s="22"/>
      <c r="Z4" s="22"/>
      <c r="AA4" s="22"/>
    </row>
    <row r="5" spans="1:27">
      <c r="B5" s="34">
        <f>ROW()-2</f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  <c r="X5" s="22"/>
      <c r="Y5" s="22"/>
      <c r="Z5" s="22"/>
      <c r="AA5" s="22"/>
    </row>
    <row r="6" spans="1:27">
      <c r="B6" s="34">
        <f>ROW()-2</f>
        <v>4</v>
      </c>
      <c r="C6" s="18"/>
      <c r="D6" s="23"/>
      <c r="E6" s="19"/>
      <c r="F6" s="35" t="s">
        <v>176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 t="str">
        <f>RouteTable!$V$3</f>
        <v>mirai-RouteTable-Private01</v>
      </c>
      <c r="W6" s="9" t="str">
        <f>RouteTable!$W$3</f>
        <v>mirai-RouteTable-Private02</v>
      </c>
      <c r="X6" s="9" t="str">
        <f>RouteTable!$X$3</f>
        <v>mirai-RouteTable-Private03</v>
      </c>
      <c r="Y6" s="9" t="str">
        <f>RouteTable!$Y$3</f>
        <v>mirai-RouteTable-Public</v>
      </c>
      <c r="Z6" s="9" t="str">
        <f>RouteTable!$Y$3</f>
        <v>mirai-RouteTable-Public</v>
      </c>
      <c r="AA6" s="9" t="str">
        <f>RouteTable!$Y$3</f>
        <v>mirai-RouteTable-Public</v>
      </c>
    </row>
    <row r="7" spans="1:27">
      <c r="B7" s="34">
        <f>ROW()-2</f>
        <v>5</v>
      </c>
      <c r="C7" s="18"/>
      <c r="D7" s="23"/>
      <c r="E7" s="19"/>
      <c r="F7" s="35" t="s">
        <v>180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 t="str">
        <f>Subnet!$V$3</f>
        <v>mirai-Subnet-Private01</v>
      </c>
      <c r="W7" s="9" t="str">
        <f>Subnet!$W$3</f>
        <v>mirai-Subnet-Private02</v>
      </c>
      <c r="X7" s="9" t="str">
        <f>Subnet!$X$3</f>
        <v>mirai-Subnet-Private03</v>
      </c>
      <c r="Y7" s="9" t="str">
        <f>Subnet!$Y$3</f>
        <v>mirai-Subnet-Public01</v>
      </c>
      <c r="Z7" s="9" t="str">
        <f>Subnet!$Z$3</f>
        <v>mirai-Subnet-Public02</v>
      </c>
      <c r="AA7" s="9" t="str">
        <f>Subnet!$AA$3</f>
        <v>mirai-Subnet-Public03</v>
      </c>
    </row>
  </sheetData>
  <phoneticPr fontId="1"/>
  <hyperlinks>
    <hyperlink ref="T4" r:id="rId1" tooltip="http://docs.aws.amazon.com/AWSCloudFormation/latest/UserGuide/aws-resource-ec2-subnet-route-table-assoc.html" xr:uid="{B350600E-82E8-4565-9A65-DF2E708D27FE}"/>
    <hyperlink ref="T6" r:id="rId2" location="cfn-ec2-subnetroutetableassociation-routetableid" tooltip="http://docs.aws.amazon.com/AWSCloudFormation/latest/UserGuide/aws-resource-ec2-subnet-route-table-assoc.html#cfn-ec2-subnetroutetableassociation-routetableid" xr:uid="{91CB0E8D-E5F4-41FC-87B9-4716ECD63022}"/>
    <hyperlink ref="T7" r:id="rId3" location="cfn-ec2-subnetroutetableassociation-subnetid" tooltip="http://docs.aws.amazon.com/AWSCloudFormation/latest/UserGuide/aws-resource-ec2-subnet-route-table-assoc.html#cfn-ec2-subnetroutetableassociation-subnetid" xr:uid="{533112F0-1773-4FA4-84D5-9834D0904E1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F5D5F-F1D3-4ED7-8CF2-736B9015A6F7}">
  <sheetPr codeName="Sheet133"/>
  <dimension ref="A1:V11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11" sqref="V11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</cols>
  <sheetData>
    <row r="1" spans="1:22">
      <c r="A1" s="14" t="s">
        <v>141</v>
      </c>
    </row>
    <row r="2" spans="1:22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</row>
    <row r="3" spans="1:22">
      <c r="B3" s="34">
        <f t="shared" ref="B3:B11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</f>
        <v>mirai-NetworkAcl</v>
      </c>
    </row>
    <row r="4" spans="1:22">
      <c r="B4" s="34">
        <f t="shared" si="0"/>
        <v>2</v>
      </c>
      <c r="C4" s="18"/>
      <c r="D4" s="23"/>
      <c r="E4" s="37" t="s">
        <v>198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</row>
    <row r="5" spans="1:22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</row>
    <row r="6" spans="1:22">
      <c r="B6" s="34">
        <f t="shared" si="0"/>
        <v>4</v>
      </c>
      <c r="C6" s="18"/>
      <c r="D6" s="23"/>
      <c r="E6" s="19"/>
      <c r="F6" s="40" t="s">
        <v>2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5"/>
      <c r="S6" s="41" t="s">
        <v>146</v>
      </c>
      <c r="T6" s="42" t="s">
        <v>147</v>
      </c>
      <c r="U6" s="26"/>
      <c r="V6" s="26"/>
    </row>
    <row r="7" spans="1:22">
      <c r="B7" s="34">
        <f t="shared" si="0"/>
        <v>5</v>
      </c>
      <c r="C7" s="18"/>
      <c r="D7" s="23"/>
      <c r="E7" s="19"/>
      <c r="F7" s="24"/>
      <c r="G7" s="50" t="s">
        <v>153</v>
      </c>
      <c r="H7" s="35" t="s">
        <v>154</v>
      </c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</row>
    <row r="8" spans="1:22">
      <c r="B8" s="34">
        <f t="shared" si="0"/>
        <v>6</v>
      </c>
      <c r="C8" s="18"/>
      <c r="D8" s="23"/>
      <c r="E8" s="19"/>
      <c r="F8" s="24"/>
      <c r="G8" s="15"/>
      <c r="H8" s="35" t="s">
        <v>70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36" t="s">
        <v>147</v>
      </c>
      <c r="U8" s="9"/>
      <c r="V8" s="9"/>
    </row>
    <row r="9" spans="1:22">
      <c r="B9" s="34">
        <f t="shared" si="0"/>
        <v>7</v>
      </c>
      <c r="C9" s="18"/>
      <c r="D9" s="23"/>
      <c r="E9" s="19"/>
      <c r="F9" s="24"/>
      <c r="G9" s="50" t="s">
        <v>153</v>
      </c>
      <c r="H9" s="35" t="s">
        <v>154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36" t="s">
        <v>147</v>
      </c>
      <c r="U9" s="9"/>
      <c r="V9" s="9"/>
    </row>
    <row r="10" spans="1:22">
      <c r="B10" s="34">
        <f t="shared" si="0"/>
        <v>8</v>
      </c>
      <c r="C10" s="18"/>
      <c r="D10" s="23"/>
      <c r="E10" s="19"/>
      <c r="F10" s="24"/>
      <c r="G10" s="15"/>
      <c r="H10" s="35" t="s">
        <v>70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/>
    </row>
    <row r="11" spans="1:22">
      <c r="B11" s="34">
        <f t="shared" si="0"/>
        <v>9</v>
      </c>
      <c r="C11" s="18"/>
      <c r="D11" s="23"/>
      <c r="E11" s="19"/>
      <c r="F11" s="35" t="s">
        <v>160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 t="str">
        <f>VPC!$V$3</f>
        <v>mirai-VPC</v>
      </c>
    </row>
  </sheetData>
  <phoneticPr fontId="1"/>
  <hyperlinks>
    <hyperlink ref="T4" r:id="rId1" tooltip="http://docs.aws.amazon.com/AWSCloudFormation/latest/UserGuide/aws-resource-ec2-network-acl.html" xr:uid="{192F0971-B084-4715-811C-5700B0F45EB8}"/>
    <hyperlink ref="T6" r:id="rId2" location="cfn-ec2-networkacl-tags" tooltip="http://docs.aws.amazon.com/AWSCloudFormation/latest/UserGuide/aws-resource-ec2-network-acl.html#cfn-ec2-networkacl-tags" xr:uid="{C15C2F7F-858F-40EA-99AD-AFB43272C2A4}"/>
    <hyperlink ref="T7" r:id="rId3" location="cfn-resource-tags-key" tooltip="http://docs.aws.amazon.com/AWSCloudFormation/latest/UserGuide/aws-properties-resource-tags.html#cfn-resource-tags-key" xr:uid="{3EE6DF25-2A7E-47B1-B983-C1CE51B8D456}"/>
    <hyperlink ref="T8" r:id="rId4" location="cfn-resource-tags-value" tooltip="http://docs.aws.amazon.com/AWSCloudFormation/latest/UserGuide/aws-properties-resource-tags.html#cfn-resource-tags-value" xr:uid="{6674D3DD-AC6C-497A-BDBD-4A2BF3CDA3E1}"/>
    <hyperlink ref="T9" r:id="rId5" location="cfn-resource-tags-key" tooltip="http://docs.aws.amazon.com/AWSCloudFormation/latest/UserGuide/aws-properties-resource-tags.html#cfn-resource-tags-key" xr:uid="{E5397617-1B3C-4027-B195-A84241E46AAF}"/>
    <hyperlink ref="T10" r:id="rId6" location="cfn-resource-tags-value" tooltip="http://docs.aws.amazon.com/AWSCloudFormation/latest/UserGuide/aws-properties-resource-tags.html#cfn-resource-tags-value" xr:uid="{EAEC11E1-A803-4F4E-A89F-63B0AB4EB5F3}"/>
    <hyperlink ref="T11" r:id="rId7" location="cfn-ec2-networkacl-vpcid" tooltip="http://docs.aws.amazon.com/AWSCloudFormation/latest/UserGuide/aws-resource-ec2-network-acl.html#cfn-ec2-networkacl-vpcid" xr:uid="{5D7B5C42-25F4-4773-8156-AEBEE1EAE021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6C88B-474E-4946-AA2C-0659ED053573}">
  <sheetPr codeName="Sheet134"/>
  <dimension ref="A1:W18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3" width="24.25" bestFit="1" customWidth="1"/>
  </cols>
  <sheetData>
    <row r="1" spans="1:23">
      <c r="A1" s="14" t="s">
        <v>141</v>
      </c>
    </row>
    <row r="2" spans="1:23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>"Value" &amp; COLUMN() -  21</f>
        <v>Value2</v>
      </c>
    </row>
    <row r="3" spans="1:23">
      <c r="B3" s="34">
        <f t="shared" ref="B3:B18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Setting!$D$10&amp;"-"&amp;RIGHT($E$4,LEN($E$4)-FIND(";",SUBSTITUTE($E$4,":",";",LEN($E$4)-LEN(SUBSTITUTE($E$4,":","")))))&amp;RIGHT("0"&amp;(COLUMN()-21),2)</f>
        <v>mirai-NetworkAclEntry01</v>
      </c>
      <c r="W3" s="9" t="str">
        <f>Setting!$D$10&amp;"-"&amp;RIGHT($E$4,LEN($E$4)-FIND(";",SUBSTITUTE($E$4,":",";",LEN($E$4)-LEN(SUBSTITUTE($E$4,":","")))))&amp;RIGHT("0"&amp;(COLUMN()-21),2)</f>
        <v>mirai-NetworkAclEntry02</v>
      </c>
    </row>
    <row r="4" spans="1:23">
      <c r="B4" s="34">
        <f t="shared" si="0"/>
        <v>2</v>
      </c>
      <c r="C4" s="18"/>
      <c r="D4" s="23"/>
      <c r="E4" s="37" t="s">
        <v>199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</row>
    <row r="5" spans="1:23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</row>
    <row r="6" spans="1:23">
      <c r="B6" s="34">
        <f t="shared" si="0"/>
        <v>4</v>
      </c>
      <c r="C6" s="18"/>
      <c r="D6" s="23"/>
      <c r="E6" s="19"/>
      <c r="F6" s="35" t="s">
        <v>148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 t="s">
        <v>356</v>
      </c>
      <c r="W6" s="9" t="s">
        <v>356</v>
      </c>
    </row>
    <row r="7" spans="1:23">
      <c r="B7" s="34">
        <f t="shared" si="0"/>
        <v>5</v>
      </c>
      <c r="C7" s="18"/>
      <c r="D7" s="23"/>
      <c r="E7" s="19"/>
      <c r="F7" s="35" t="s">
        <v>200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150</v>
      </c>
      <c r="T7" s="36" t="s">
        <v>147</v>
      </c>
      <c r="U7" s="9"/>
      <c r="V7" s="9" t="s">
        <v>353</v>
      </c>
      <c r="W7" s="9" t="s">
        <v>357</v>
      </c>
    </row>
    <row r="8" spans="1:23">
      <c r="B8" s="34">
        <f t="shared" si="0"/>
        <v>6</v>
      </c>
      <c r="C8" s="18"/>
      <c r="D8" s="23"/>
      <c r="E8" s="19"/>
      <c r="F8" s="40" t="s">
        <v>201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5"/>
      <c r="S8" s="41" t="s">
        <v>146</v>
      </c>
      <c r="T8" s="42" t="s">
        <v>147</v>
      </c>
      <c r="U8" s="26"/>
      <c r="V8" s="26"/>
      <c r="W8" s="26"/>
    </row>
    <row r="9" spans="1:23">
      <c r="B9" s="34">
        <f t="shared" si="0"/>
        <v>7</v>
      </c>
      <c r="C9" s="18"/>
      <c r="D9" s="23"/>
      <c r="E9" s="19"/>
      <c r="F9" s="24"/>
      <c r="G9" s="35" t="s">
        <v>202</v>
      </c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162</v>
      </c>
      <c r="T9" s="36" t="s">
        <v>147</v>
      </c>
      <c r="U9" s="9"/>
      <c r="V9" s="9"/>
      <c r="W9" s="9"/>
    </row>
    <row r="10" spans="1:23">
      <c r="B10" s="34">
        <f t="shared" si="0"/>
        <v>8</v>
      </c>
      <c r="C10" s="18"/>
      <c r="D10" s="23"/>
      <c r="E10" s="19"/>
      <c r="F10" s="24"/>
      <c r="G10" s="35" t="s">
        <v>203</v>
      </c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162</v>
      </c>
      <c r="T10" s="36" t="s">
        <v>147</v>
      </c>
      <c r="U10" s="9"/>
      <c r="V10" s="9"/>
      <c r="W10" s="9"/>
    </row>
    <row r="11" spans="1:23">
      <c r="B11" s="34">
        <f t="shared" si="0"/>
        <v>9</v>
      </c>
      <c r="C11" s="18"/>
      <c r="D11" s="23"/>
      <c r="E11" s="19"/>
      <c r="F11" s="35" t="s">
        <v>166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/>
      <c r="W11" s="9"/>
    </row>
    <row r="12" spans="1:23">
      <c r="B12" s="34">
        <f t="shared" si="0"/>
        <v>10</v>
      </c>
      <c r="C12" s="18"/>
      <c r="D12" s="23"/>
      <c r="E12" s="19"/>
      <c r="F12" s="35" t="s">
        <v>204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36" t="s">
        <v>147</v>
      </c>
      <c r="U12" s="9"/>
      <c r="V12" s="9" t="str">
        <f>NetworkAcl!$V$3</f>
        <v>mirai-NetworkAcl</v>
      </c>
      <c r="W12" s="9" t="str">
        <f>NetworkAcl!$V$3</f>
        <v>mirai-NetworkAcl</v>
      </c>
    </row>
    <row r="13" spans="1:23">
      <c r="B13" s="34">
        <f t="shared" si="0"/>
        <v>11</v>
      </c>
      <c r="C13" s="18"/>
      <c r="D13" s="23"/>
      <c r="E13" s="19"/>
      <c r="F13" s="40" t="s">
        <v>205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5"/>
      <c r="S13" s="41" t="s">
        <v>146</v>
      </c>
      <c r="T13" s="42" t="s">
        <v>147</v>
      </c>
      <c r="U13" s="26"/>
      <c r="V13" s="26"/>
      <c r="W13" s="26"/>
    </row>
    <row r="14" spans="1:23">
      <c r="B14" s="34">
        <f t="shared" si="0"/>
        <v>12</v>
      </c>
      <c r="C14" s="18"/>
      <c r="D14" s="23"/>
      <c r="E14" s="19"/>
      <c r="F14" s="24"/>
      <c r="G14" s="35" t="s">
        <v>206</v>
      </c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4" t="s">
        <v>162</v>
      </c>
      <c r="T14" s="36" t="s">
        <v>147</v>
      </c>
      <c r="U14" s="9"/>
      <c r="V14" s="9"/>
      <c r="W14" s="9"/>
    </row>
    <row r="15" spans="1:23">
      <c r="B15" s="34">
        <f t="shared" si="0"/>
        <v>13</v>
      </c>
      <c r="C15" s="18"/>
      <c r="D15" s="23"/>
      <c r="E15" s="19"/>
      <c r="F15" s="24"/>
      <c r="G15" s="35" t="s">
        <v>207</v>
      </c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4" t="s">
        <v>162</v>
      </c>
      <c r="T15" s="36" t="s">
        <v>147</v>
      </c>
      <c r="U15" s="9"/>
      <c r="V15" s="9"/>
      <c r="W15" s="9"/>
    </row>
    <row r="16" spans="1:23">
      <c r="B16" s="34">
        <f t="shared" si="0"/>
        <v>14</v>
      </c>
      <c r="C16" s="18"/>
      <c r="D16" s="23"/>
      <c r="E16" s="19"/>
      <c r="F16" s="35" t="s">
        <v>208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4" t="s">
        <v>162</v>
      </c>
      <c r="T16" s="36" t="s">
        <v>147</v>
      </c>
      <c r="U16" s="9"/>
      <c r="V16" s="9">
        <v>-1</v>
      </c>
      <c r="W16" s="9">
        <v>-1</v>
      </c>
    </row>
    <row r="17" spans="2:23">
      <c r="B17" s="34">
        <f t="shared" si="0"/>
        <v>15</v>
      </c>
      <c r="C17" s="18"/>
      <c r="D17" s="23"/>
      <c r="E17" s="19"/>
      <c r="F17" s="35" t="s">
        <v>209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34" t="s">
        <v>143</v>
      </c>
      <c r="T17" s="36" t="s">
        <v>147</v>
      </c>
      <c r="U17" s="9"/>
      <c r="V17" s="9" t="s">
        <v>271</v>
      </c>
      <c r="W17" s="9" t="s">
        <v>271</v>
      </c>
    </row>
    <row r="18" spans="2:23">
      <c r="B18" s="34">
        <f t="shared" si="0"/>
        <v>16</v>
      </c>
      <c r="C18" s="18"/>
      <c r="D18" s="23"/>
      <c r="E18" s="19"/>
      <c r="F18" s="35" t="s">
        <v>210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34" t="s">
        <v>162</v>
      </c>
      <c r="T18" s="36" t="s">
        <v>147</v>
      </c>
      <c r="U18" s="9"/>
      <c r="V18" s="9">
        <v>32766</v>
      </c>
      <c r="W18" s="9">
        <v>32766</v>
      </c>
    </row>
  </sheetData>
  <phoneticPr fontId="1"/>
  <hyperlinks>
    <hyperlink ref="T4" r:id="rId1" tooltip="http://docs.aws.amazon.com/AWSCloudFormation/latest/UserGuide/aws-resource-ec2-network-acl-entry.html" xr:uid="{55771F08-82AE-431A-9297-4B3B50291D79}"/>
    <hyperlink ref="T6" r:id="rId2" location="cfn-ec2-networkaclentry-cidrblock" tooltip="http://docs.aws.amazon.com/AWSCloudFormation/latest/UserGuide/aws-resource-ec2-network-acl-entry.html#cfn-ec2-networkaclentry-cidrblock" xr:uid="{F8A64BC0-7F7E-469F-B6AC-4A310DB6CDA6}"/>
    <hyperlink ref="T7" r:id="rId3" location="cfn-ec2-networkaclentry-egress" tooltip="http://docs.aws.amazon.com/AWSCloudFormation/latest/UserGuide/aws-resource-ec2-network-acl-entry.html#cfn-ec2-networkaclentry-egress" xr:uid="{B04B3AAA-6944-4B31-9856-42FD57E413B9}"/>
    <hyperlink ref="T8" r:id="rId4" location="cfn-ec2-networkaclentry-icmp" tooltip="http://docs.aws.amazon.com/AWSCloudFormation/latest/UserGuide/aws-resource-ec2-network-acl-entry.html#cfn-ec2-networkaclentry-icmp" xr:uid="{E6F133EA-469E-46DC-AC26-30FF2870E78A}"/>
    <hyperlink ref="T9" r:id="rId5" location="cfn-ec2-networkaclentry-icmp-code" tooltip="http://docs.aws.amazon.com/AWSCloudFormation/latest/UserGuide/aws-properties-ec2-networkaclentry-icmp.html#cfn-ec2-networkaclentry-icmp-code" xr:uid="{2CF7A0C1-C5BA-4527-9E61-01C631CCE4FC}"/>
    <hyperlink ref="T10" r:id="rId6" location="cfn-ec2-networkaclentry-icmp-type" tooltip="http://docs.aws.amazon.com/AWSCloudFormation/latest/UserGuide/aws-properties-ec2-networkaclentry-icmp.html#cfn-ec2-networkaclentry-icmp-type" xr:uid="{AF2D5BBF-CE2E-4865-83A4-406C20944F9F}"/>
    <hyperlink ref="T11" r:id="rId7" location="cfn-ec2-networkaclentry-ipv6cidrblock" tooltip="http://docs.aws.amazon.com/AWSCloudFormation/latest/UserGuide/aws-resource-ec2-network-acl-entry.html#cfn-ec2-networkaclentry-ipv6cidrblock" xr:uid="{AD9EECB8-3ECA-4DD4-B68F-CC7D221FE3B3}"/>
    <hyperlink ref="T12" r:id="rId8" location="cfn-ec2-networkaclentry-networkaclid" tooltip="http://docs.aws.amazon.com/AWSCloudFormation/latest/UserGuide/aws-resource-ec2-network-acl-entry.html#cfn-ec2-networkaclentry-networkaclid" xr:uid="{97F1A26D-6AAA-4DA3-9AE4-101AF048B1A8}"/>
    <hyperlink ref="T13" r:id="rId9" location="cfn-ec2-networkaclentry-portrange" tooltip="http://docs.aws.amazon.com/AWSCloudFormation/latest/UserGuide/aws-resource-ec2-network-acl-entry.html#cfn-ec2-networkaclentry-portrange" xr:uid="{91EA6100-9F91-4E32-8E16-C367C555BD89}"/>
    <hyperlink ref="T14" r:id="rId10" location="cfn-ec2-networkaclentry-portrange-from" tooltip="http://docs.aws.amazon.com/AWSCloudFormation/latest/UserGuide/aws-properties-ec2-networkaclentry-portrange.html#cfn-ec2-networkaclentry-portrange-from" xr:uid="{7BA92843-D3B3-4064-B88A-DA71F96DFD8D}"/>
    <hyperlink ref="T15" r:id="rId11" location="cfn-ec2-networkaclentry-portrange-to" tooltip="http://docs.aws.amazon.com/AWSCloudFormation/latest/UserGuide/aws-properties-ec2-networkaclentry-portrange.html#cfn-ec2-networkaclentry-portrange-to" xr:uid="{346E96ED-84A7-4F26-BB99-2E31204C3629}"/>
    <hyperlink ref="T16" r:id="rId12" location="cfn-ec2-networkaclentry-protocol" tooltip="http://docs.aws.amazon.com/AWSCloudFormation/latest/UserGuide/aws-resource-ec2-network-acl-entry.html#cfn-ec2-networkaclentry-protocol" xr:uid="{76405D2D-80CA-4E79-B01C-C7094BB8ED02}"/>
    <hyperlink ref="T17" r:id="rId13" location="cfn-ec2-networkaclentry-ruleaction" tooltip="http://docs.aws.amazon.com/AWSCloudFormation/latest/UserGuide/aws-resource-ec2-network-acl-entry.html#cfn-ec2-networkaclentry-ruleaction" xr:uid="{633C5BEB-BCFE-406C-8716-0E88018D1C21}"/>
    <hyperlink ref="T18" r:id="rId14" location="cfn-ec2-networkaclentry-rulenumber" tooltip="http://docs.aws.amazon.com/AWSCloudFormation/latest/UserGuide/aws-resource-ec2-network-acl-entry.html#cfn-ec2-networkaclentry-rulenumber" xr:uid="{D5B70A53-867C-466C-979D-ABF6473A86FE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6204E-C9FB-42D3-8032-B5E49A7984CA}">
  <sheetPr codeName="Sheet135"/>
  <dimension ref="A1:AA7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7" width="23.125" customWidth="1"/>
  </cols>
  <sheetData>
    <row r="1" spans="1:27">
      <c r="A1" s="14" t="s">
        <v>141</v>
      </c>
    </row>
    <row r="2" spans="1:27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 t="shared" ref="W2:AA2" si="0">"Value" &amp; COLUMN() -  21</f>
        <v>Value2</v>
      </c>
      <c r="X2" s="7" t="str">
        <f t="shared" si="0"/>
        <v>Value3</v>
      </c>
      <c r="Y2" s="7" t="str">
        <f t="shared" si="0"/>
        <v>Value4</v>
      </c>
      <c r="Z2" s="7" t="str">
        <f t="shared" si="0"/>
        <v>Value5</v>
      </c>
      <c r="AA2" s="7" t="str">
        <f t="shared" si="0"/>
        <v>Value6</v>
      </c>
    </row>
    <row r="3" spans="1:27">
      <c r="B3" s="34">
        <f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Setting!$D$10&amp;"-"&amp;RIGHT($E$4,LEN($E$4)-FIND(";",SUBSTITUTE($E$4,":",";",LEN($E$4)-LEN(SUBSTITUTE($E$4,":","")))))&amp;RIGHT("0"&amp;(COLUMN()-21),2)</f>
        <v>mirai-SubnetNetworkAclAssociation01</v>
      </c>
      <c r="W3" s="9" t="str">
        <f>Setting!$D$10&amp;"-"&amp;RIGHT($E$4,LEN($E$4)-FIND(";",SUBSTITUTE($E$4,":",";",LEN($E$4)-LEN(SUBSTITUTE($E$4,":","")))))&amp;RIGHT("0"&amp;(COLUMN()-21),2)</f>
        <v>mirai-SubnetNetworkAclAssociation02</v>
      </c>
      <c r="X3" s="9" t="str">
        <f>Setting!$D$10&amp;"-"&amp;RIGHT($E$4,LEN($E$4)-FIND(";",SUBSTITUTE($E$4,":",";",LEN($E$4)-LEN(SUBSTITUTE($E$4,":","")))))&amp;RIGHT("0"&amp;(COLUMN()-21),2)</f>
        <v>mirai-SubnetNetworkAclAssociation03</v>
      </c>
      <c r="Y3" s="9" t="str">
        <f>Setting!$D$10&amp;"-"&amp;RIGHT($E$4,LEN($E$4)-FIND(";",SUBSTITUTE($E$4,":",";",LEN($E$4)-LEN(SUBSTITUTE($E$4,":","")))))&amp;RIGHT("0"&amp;(COLUMN()-21),2)</f>
        <v>mirai-SubnetNetworkAclAssociation04</v>
      </c>
      <c r="Z3" s="9" t="str">
        <f>Setting!$D$10&amp;"-"&amp;RIGHT($E$4,LEN($E$4)-FIND(";",SUBSTITUTE($E$4,":",";",LEN($E$4)-LEN(SUBSTITUTE($E$4,":","")))))&amp;RIGHT("0"&amp;(COLUMN()-21),2)</f>
        <v>mirai-SubnetNetworkAclAssociation05</v>
      </c>
      <c r="AA3" s="9" t="str">
        <f>Setting!$D$10&amp;"-"&amp;RIGHT($E$4,LEN($E$4)-FIND(";",SUBSTITUTE($E$4,":",";",LEN($E$4)-LEN(SUBSTITUTE($E$4,":","")))))&amp;RIGHT("0"&amp;(COLUMN()-21),2)</f>
        <v>mirai-SubnetNetworkAclAssociation06</v>
      </c>
    </row>
    <row r="4" spans="1:27">
      <c r="B4" s="34">
        <f>ROW()-2</f>
        <v>2</v>
      </c>
      <c r="C4" s="18"/>
      <c r="D4" s="23"/>
      <c r="E4" s="37" t="s">
        <v>211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  <c r="X4" s="22"/>
      <c r="Y4" s="22"/>
      <c r="Z4" s="22"/>
      <c r="AA4" s="22"/>
    </row>
    <row r="5" spans="1:27">
      <c r="B5" s="34">
        <f>ROW()-2</f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  <c r="X5" s="22"/>
      <c r="Y5" s="22"/>
      <c r="Z5" s="22"/>
      <c r="AA5" s="22"/>
    </row>
    <row r="6" spans="1:27">
      <c r="B6" s="34">
        <f>ROW()-2</f>
        <v>4</v>
      </c>
      <c r="C6" s="18"/>
      <c r="D6" s="23"/>
      <c r="E6" s="19"/>
      <c r="F6" s="35" t="s">
        <v>204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 t="str">
        <f>NetworkAcl!$V$3</f>
        <v>mirai-NetworkAcl</v>
      </c>
      <c r="W6" s="9" t="str">
        <f>NetworkAcl!$V$3</f>
        <v>mirai-NetworkAcl</v>
      </c>
      <c r="X6" s="9" t="str">
        <f>NetworkAcl!$V$3</f>
        <v>mirai-NetworkAcl</v>
      </c>
      <c r="Y6" s="9" t="str">
        <f>NetworkAcl!$V$3</f>
        <v>mirai-NetworkAcl</v>
      </c>
      <c r="Z6" s="9" t="str">
        <f>NetworkAcl!$V$3</f>
        <v>mirai-NetworkAcl</v>
      </c>
      <c r="AA6" s="9" t="str">
        <f>NetworkAcl!$V$3</f>
        <v>mirai-NetworkAcl</v>
      </c>
    </row>
    <row r="7" spans="1:27">
      <c r="B7" s="34">
        <f>ROW()-2</f>
        <v>5</v>
      </c>
      <c r="C7" s="18"/>
      <c r="D7" s="23"/>
      <c r="E7" s="19"/>
      <c r="F7" s="35" t="s">
        <v>180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 t="str">
        <f>Subnet!V3</f>
        <v>mirai-Subnet-Private01</v>
      </c>
      <c r="W7" s="9" t="str">
        <f>Subnet!W3</f>
        <v>mirai-Subnet-Private02</v>
      </c>
      <c r="X7" s="9" t="str">
        <f>Subnet!X3</f>
        <v>mirai-Subnet-Private03</v>
      </c>
      <c r="Y7" s="9" t="str">
        <f>Subnet!Y3</f>
        <v>mirai-Subnet-Public01</v>
      </c>
      <c r="Z7" s="9" t="str">
        <f>Subnet!Z3</f>
        <v>mirai-Subnet-Public02</v>
      </c>
      <c r="AA7" s="9" t="str">
        <f>Subnet!AA3</f>
        <v>mirai-Subnet-Public03</v>
      </c>
    </row>
  </sheetData>
  <phoneticPr fontId="1"/>
  <hyperlinks>
    <hyperlink ref="T4" r:id="rId1" tooltip="http://docs.aws.amazon.com/AWSCloudFormation/latest/UserGuide/aws-resource-ec2-subnet-network-acl-assoc.html" xr:uid="{42C5747E-CE76-48ED-BFAD-6D02F68A9BB0}"/>
    <hyperlink ref="T6" r:id="rId2" location="cfn-ec2-subnetnetworkaclassociation-networkaclid" tooltip="http://docs.aws.amazon.com/AWSCloudFormation/latest/UserGuide/aws-resource-ec2-subnet-network-acl-assoc.html#cfn-ec2-subnetnetworkaclassociation-networkaclid" xr:uid="{D4CB1B9C-CD53-45E8-A5E1-CAEED41D3481}"/>
    <hyperlink ref="T7" r:id="rId3" location="cfn-ec2-subnetnetworkaclassociation-associationid" tooltip="http://docs.aws.amazon.com/AWSCloudFormation/latest/UserGuide/aws-resource-ec2-subnet-network-acl-assoc.html#cfn-ec2-subnetnetworkaclassociation-associationid" xr:uid="{2A71A49E-0E67-446C-9FC1-33EC8B8724F9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BE82-C1AD-4C87-A376-D3B657AF62AF}">
  <sheetPr codeName="Sheet136"/>
  <dimension ref="A1:W24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W3" sqref="W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</cols>
  <sheetData>
    <row r="1" spans="1:23">
      <c r="A1" s="14" t="s">
        <v>141</v>
      </c>
    </row>
    <row r="2" spans="1:23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</row>
    <row r="3" spans="1:23">
      <c r="B3" s="34">
        <f t="shared" ref="B3:B24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W3" s="9" t="str">
        <f>Setting!$D$10&amp;"-"&amp;RIGHT($E$4,LEN($E$4)-FIND(";",SUBSTITUTE($E$4,":",";",LEN($E$4)-LEN(SUBSTITUTE($E$4,":","")))))&amp;RIGHT("0"&amp;(COLUMN()-21),2)</f>
        <v>mirai-PrefixList02</v>
      </c>
    </row>
    <row r="4" spans="1:23">
      <c r="B4" s="34">
        <f t="shared" si="0"/>
        <v>2</v>
      </c>
      <c r="C4" s="18"/>
      <c r="D4" s="23"/>
      <c r="E4" s="37" t="s">
        <v>309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</row>
    <row r="5" spans="1:23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</row>
    <row r="6" spans="1:23">
      <c r="B6" s="34">
        <f t="shared" si="0"/>
        <v>4</v>
      </c>
      <c r="C6" s="18"/>
      <c r="D6" s="23"/>
      <c r="E6" s="19"/>
      <c r="F6" s="35" t="s">
        <v>264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/>
      <c r="W6" t="s">
        <v>359</v>
      </c>
    </row>
    <row r="7" spans="1:23">
      <c r="B7" s="34">
        <f t="shared" si="0"/>
        <v>5</v>
      </c>
      <c r="C7" s="18"/>
      <c r="D7" s="23"/>
      <c r="E7" s="19"/>
      <c r="F7" s="35" t="s">
        <v>265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  <c r="W7" s="9" t="s">
        <v>270</v>
      </c>
    </row>
    <row r="8" spans="1:23">
      <c r="B8" s="34">
        <f t="shared" si="0"/>
        <v>6</v>
      </c>
      <c r="C8" s="18"/>
      <c r="D8" s="23"/>
      <c r="E8" s="19"/>
      <c r="F8" s="35" t="s">
        <v>266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162</v>
      </c>
      <c r="T8" s="36" t="s">
        <v>147</v>
      </c>
      <c r="U8" s="9"/>
      <c r="V8" s="9"/>
      <c r="W8">
        <v>4</v>
      </c>
    </row>
    <row r="9" spans="1:23">
      <c r="B9" s="34">
        <f t="shared" si="0"/>
        <v>7</v>
      </c>
      <c r="C9" s="18"/>
      <c r="D9" s="23"/>
      <c r="E9" s="19"/>
      <c r="F9" s="40" t="s">
        <v>2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5"/>
      <c r="S9" s="41" t="s">
        <v>146</v>
      </c>
      <c r="T9" s="42" t="s">
        <v>147</v>
      </c>
      <c r="U9" s="26"/>
      <c r="V9" s="26"/>
    </row>
    <row r="10" spans="1:23">
      <c r="B10" s="34">
        <f t="shared" si="0"/>
        <v>8</v>
      </c>
      <c r="C10" s="18"/>
      <c r="D10" s="23"/>
      <c r="E10" s="19"/>
      <c r="F10" s="24"/>
      <c r="G10" s="50" t="s">
        <v>153</v>
      </c>
      <c r="H10" s="35" t="s">
        <v>154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/>
    </row>
    <row r="11" spans="1:23">
      <c r="B11" s="34">
        <f t="shared" si="0"/>
        <v>9</v>
      </c>
      <c r="C11" s="18"/>
      <c r="D11" s="23"/>
      <c r="E11" s="19"/>
      <c r="F11" s="24"/>
      <c r="G11" s="15"/>
      <c r="H11" s="35" t="s">
        <v>70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/>
    </row>
    <row r="12" spans="1:23">
      <c r="B12" s="34">
        <f t="shared" si="0"/>
        <v>10</v>
      </c>
      <c r="C12" s="18"/>
      <c r="D12" s="23"/>
      <c r="E12" s="19"/>
      <c r="F12" s="24"/>
      <c r="G12" s="50" t="s">
        <v>153</v>
      </c>
      <c r="H12" s="35" t="s">
        <v>154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36" t="s">
        <v>147</v>
      </c>
      <c r="U12" s="9"/>
      <c r="V12" s="9"/>
    </row>
    <row r="13" spans="1:23">
      <c r="B13" s="34">
        <f t="shared" si="0"/>
        <v>11</v>
      </c>
      <c r="C13" s="18"/>
      <c r="D13" s="23"/>
      <c r="E13" s="19"/>
      <c r="F13" s="24"/>
      <c r="G13" s="15"/>
      <c r="H13" s="35" t="s">
        <v>70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4" t="s">
        <v>143</v>
      </c>
      <c r="T13" s="36" t="s">
        <v>147</v>
      </c>
      <c r="U13" s="9"/>
      <c r="V13" s="9"/>
    </row>
    <row r="14" spans="1:23">
      <c r="B14" s="34">
        <f t="shared" si="0"/>
        <v>12</v>
      </c>
      <c r="C14" s="18"/>
      <c r="D14" s="23"/>
      <c r="E14" s="19"/>
      <c r="F14" s="40" t="s">
        <v>267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5"/>
      <c r="S14" s="41" t="s">
        <v>146</v>
      </c>
      <c r="T14" s="42" t="s">
        <v>147</v>
      </c>
      <c r="U14" s="26"/>
      <c r="V14" s="26"/>
    </row>
    <row r="15" spans="1:23">
      <c r="B15" s="34">
        <f t="shared" si="0"/>
        <v>13</v>
      </c>
      <c r="C15" s="18"/>
      <c r="D15" s="23"/>
      <c r="E15" s="19"/>
      <c r="F15" s="24"/>
      <c r="G15" s="50" t="s">
        <v>153</v>
      </c>
      <c r="H15" s="35" t="s">
        <v>268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4" t="s">
        <v>143</v>
      </c>
      <c r="T15" s="36" t="s">
        <v>147</v>
      </c>
      <c r="U15" s="9"/>
      <c r="V15" s="9"/>
      <c r="W15" t="s">
        <v>358</v>
      </c>
    </row>
    <row r="16" spans="1:23">
      <c r="B16" s="34">
        <f t="shared" si="0"/>
        <v>14</v>
      </c>
      <c r="C16" s="18"/>
      <c r="D16" s="23"/>
      <c r="E16" s="19"/>
      <c r="F16" s="24"/>
      <c r="G16" s="15"/>
      <c r="H16" s="35" t="s">
        <v>187</v>
      </c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4" t="s">
        <v>143</v>
      </c>
      <c r="T16" s="36" t="s">
        <v>147</v>
      </c>
      <c r="U16" s="9"/>
      <c r="V16" s="9"/>
      <c r="W16" s="8" t="s">
        <v>360</v>
      </c>
    </row>
    <row r="17" spans="2:23">
      <c r="B17" s="34">
        <f t="shared" si="0"/>
        <v>15</v>
      </c>
      <c r="C17" s="18"/>
      <c r="D17" s="23"/>
      <c r="E17" s="19"/>
      <c r="F17" s="24"/>
      <c r="G17" s="50" t="s">
        <v>153</v>
      </c>
      <c r="H17" s="35" t="s">
        <v>268</v>
      </c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34" t="s">
        <v>143</v>
      </c>
      <c r="T17" s="36" t="s">
        <v>147</v>
      </c>
      <c r="U17" s="9"/>
      <c r="V17" s="9"/>
      <c r="W17" s="8" t="s">
        <v>361</v>
      </c>
    </row>
    <row r="18" spans="2:23">
      <c r="B18" s="34">
        <f t="shared" si="0"/>
        <v>16</v>
      </c>
      <c r="C18" s="18"/>
      <c r="D18" s="23"/>
      <c r="E18" s="19"/>
      <c r="F18" s="24"/>
      <c r="G18" s="15"/>
      <c r="H18" s="35" t="s">
        <v>187</v>
      </c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34" t="s">
        <v>143</v>
      </c>
      <c r="T18" s="36" t="s">
        <v>147</v>
      </c>
      <c r="U18" s="9"/>
      <c r="V18" s="9"/>
      <c r="W18" s="8" t="s">
        <v>364</v>
      </c>
    </row>
    <row r="19" spans="2:23" s="8" customFormat="1">
      <c r="B19" s="34">
        <f t="shared" si="0"/>
        <v>17</v>
      </c>
      <c r="C19" s="18"/>
      <c r="D19" s="23"/>
      <c r="E19" s="19"/>
      <c r="F19" s="24"/>
      <c r="G19" s="50" t="s">
        <v>153</v>
      </c>
      <c r="H19" s="35" t="s">
        <v>268</v>
      </c>
      <c r="I19" s="15"/>
      <c r="J19" s="15"/>
      <c r="K19" s="15"/>
      <c r="L19" s="15"/>
      <c r="M19" s="15"/>
      <c r="N19" s="15"/>
      <c r="O19" s="15"/>
      <c r="P19" s="15"/>
      <c r="Q19" s="15"/>
      <c r="R19" s="16"/>
      <c r="S19" s="34" t="s">
        <v>143</v>
      </c>
      <c r="T19" s="36" t="s">
        <v>147</v>
      </c>
      <c r="U19" s="9"/>
      <c r="V19" s="9"/>
      <c r="W19" s="8" t="s">
        <v>362</v>
      </c>
    </row>
    <row r="20" spans="2:23" s="8" customFormat="1">
      <c r="B20" s="34">
        <f t="shared" si="0"/>
        <v>18</v>
      </c>
      <c r="C20" s="18"/>
      <c r="D20" s="23"/>
      <c r="E20" s="19"/>
      <c r="F20" s="24"/>
      <c r="G20" s="15"/>
      <c r="H20" s="35" t="s">
        <v>187</v>
      </c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34" t="s">
        <v>143</v>
      </c>
      <c r="T20" s="36" t="s">
        <v>147</v>
      </c>
      <c r="U20" s="9"/>
      <c r="V20" s="9"/>
      <c r="W20" s="8" t="s">
        <v>366</v>
      </c>
    </row>
    <row r="21" spans="2:23" s="8" customFormat="1">
      <c r="B21" s="34">
        <f t="shared" si="0"/>
        <v>19</v>
      </c>
      <c r="C21" s="18"/>
      <c r="D21" s="23"/>
      <c r="E21" s="19"/>
      <c r="F21" s="24"/>
      <c r="G21" s="50" t="s">
        <v>153</v>
      </c>
      <c r="H21" s="35" t="s">
        <v>268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34" t="s">
        <v>143</v>
      </c>
      <c r="T21" s="36" t="s">
        <v>147</v>
      </c>
      <c r="U21" s="9"/>
      <c r="V21" s="9"/>
      <c r="W21" s="8" t="s">
        <v>363</v>
      </c>
    </row>
    <row r="22" spans="2:23" s="8" customFormat="1">
      <c r="B22" s="34">
        <f t="shared" si="0"/>
        <v>20</v>
      </c>
      <c r="C22" s="18"/>
      <c r="D22" s="23"/>
      <c r="E22" s="19"/>
      <c r="F22" s="24"/>
      <c r="G22" s="15"/>
      <c r="H22" s="35" t="s">
        <v>187</v>
      </c>
      <c r="I22" s="15"/>
      <c r="J22" s="15"/>
      <c r="K22" s="15"/>
      <c r="L22" s="15"/>
      <c r="M22" s="15"/>
      <c r="N22" s="15"/>
      <c r="O22" s="15"/>
      <c r="P22" s="15"/>
      <c r="Q22" s="15"/>
      <c r="R22" s="16"/>
      <c r="S22" s="34" t="s">
        <v>143</v>
      </c>
      <c r="T22" s="36" t="s">
        <v>147</v>
      </c>
      <c r="U22" s="9"/>
      <c r="V22" s="9"/>
      <c r="W22" s="8" t="s">
        <v>365</v>
      </c>
    </row>
    <row r="23" spans="2:23" s="8" customFormat="1">
      <c r="B23" s="34">
        <f t="shared" si="0"/>
        <v>21</v>
      </c>
      <c r="C23" s="18"/>
      <c r="D23" s="23"/>
      <c r="E23" s="19"/>
      <c r="F23" s="24"/>
      <c r="G23" s="50" t="s">
        <v>153</v>
      </c>
      <c r="H23" s="35" t="s">
        <v>268</v>
      </c>
      <c r="I23" s="15"/>
      <c r="J23" s="15"/>
      <c r="K23" s="15"/>
      <c r="L23" s="15"/>
      <c r="M23" s="15"/>
      <c r="N23" s="15"/>
      <c r="O23" s="15"/>
      <c r="P23" s="15"/>
      <c r="Q23" s="15"/>
      <c r="R23" s="16"/>
      <c r="S23" s="34" t="s">
        <v>143</v>
      </c>
      <c r="T23" s="36" t="s">
        <v>147</v>
      </c>
      <c r="U23" s="9"/>
      <c r="V23" s="9"/>
    </row>
    <row r="24" spans="2:23" s="8" customFormat="1">
      <c r="B24" s="34">
        <f t="shared" si="0"/>
        <v>22</v>
      </c>
      <c r="C24" s="18"/>
      <c r="D24" s="23"/>
      <c r="E24" s="19"/>
      <c r="F24" s="24"/>
      <c r="G24" s="15"/>
      <c r="H24" s="35" t="s">
        <v>187</v>
      </c>
      <c r="I24" s="15"/>
      <c r="J24" s="15"/>
      <c r="K24" s="15"/>
      <c r="L24" s="15"/>
      <c r="M24" s="15"/>
      <c r="N24" s="15"/>
      <c r="O24" s="15"/>
      <c r="P24" s="15"/>
      <c r="Q24" s="15"/>
      <c r="R24" s="16"/>
      <c r="S24" s="34" t="s">
        <v>143</v>
      </c>
      <c r="T24" s="36" t="s">
        <v>147</v>
      </c>
      <c r="U24" s="9"/>
      <c r="V24" s="9"/>
    </row>
  </sheetData>
  <phoneticPr fontId="1"/>
  <hyperlinks>
    <hyperlink ref="T4" r:id="rId1" tooltip="http://docs.aws.amazon.com/AWSCloudFormation/latest/UserGuide/aws-resource-ec2-prefixlist.html" xr:uid="{F6715F2A-C892-4DBF-80DD-DF360E47E4E9}"/>
    <hyperlink ref="T6" r:id="rId2" location="cfn-ec2-prefixlist-prefixlistname" tooltip="http://docs.aws.amazon.com/AWSCloudFormation/latest/UserGuide/aws-resource-ec2-prefixlist.html#cfn-ec2-prefixlist-prefixlistname" xr:uid="{A7663E4F-7763-4780-A290-266B7A406843}"/>
    <hyperlink ref="T7" r:id="rId3" location="cfn-ec2-prefixlist-addressfamily" tooltip="http://docs.aws.amazon.com/AWSCloudFormation/latest/UserGuide/aws-resource-ec2-prefixlist.html#cfn-ec2-prefixlist-addressfamily" xr:uid="{D41DE081-CC22-4119-B24F-48F0D39C48F4}"/>
    <hyperlink ref="T8" r:id="rId4" location="cfn-ec2-prefixlist-maxentries" tooltip="http://docs.aws.amazon.com/AWSCloudFormation/latest/UserGuide/aws-resource-ec2-prefixlist.html#cfn-ec2-prefixlist-maxentries" xr:uid="{A0B1F897-587B-4B36-87A1-733FA8E77654}"/>
    <hyperlink ref="T9" r:id="rId5" location="cfn-ec2-prefixlist-tags" tooltip="http://docs.aws.amazon.com/AWSCloudFormation/latest/UserGuide/aws-resource-ec2-prefixlist.html#cfn-ec2-prefixlist-tags" xr:uid="{02A93A5D-6256-48A2-9A03-4FB2D651386C}"/>
    <hyperlink ref="T10" r:id="rId6" location="cfn-resource-tags-key" tooltip="http://docs.aws.amazon.com/AWSCloudFormation/latest/UserGuide/aws-properties-resource-tags.html#cfn-resource-tags-key" xr:uid="{552E06DC-C2DF-4F10-ACA3-0089F54CCF1D}"/>
    <hyperlink ref="T11" r:id="rId7" location="cfn-resource-tags-value" tooltip="http://docs.aws.amazon.com/AWSCloudFormation/latest/UserGuide/aws-properties-resource-tags.html#cfn-resource-tags-value" xr:uid="{B657C805-6218-43EC-B0E8-1D190F01EDA4}"/>
    <hyperlink ref="T12" r:id="rId8" location="cfn-resource-tags-key" tooltip="http://docs.aws.amazon.com/AWSCloudFormation/latest/UserGuide/aws-properties-resource-tags.html#cfn-resource-tags-key" xr:uid="{E0C29B44-66AC-441B-9382-3868D83F95B9}"/>
    <hyperlink ref="T13" r:id="rId9" location="cfn-resource-tags-value" tooltip="http://docs.aws.amazon.com/AWSCloudFormation/latest/UserGuide/aws-properties-resource-tags.html#cfn-resource-tags-value" xr:uid="{B35D72DF-5319-493B-B050-6D412E927A65}"/>
    <hyperlink ref="T14" r:id="rId10" location="cfn-ec2-prefixlist-entries" tooltip="http://docs.aws.amazon.com/AWSCloudFormation/latest/UserGuide/aws-resource-ec2-prefixlist.html#cfn-ec2-prefixlist-entries" xr:uid="{7B79D869-5B92-420F-BDFD-7505136A4602}"/>
    <hyperlink ref="T15" r:id="rId11" location="cfn-ec2-prefixlist-entry-cidr" tooltip="http://docs.aws.amazon.com/AWSCloudFormation/latest/UserGuide/aws-properties-ec2-prefixlist-entry.html#cfn-ec2-prefixlist-entry-cidr" xr:uid="{8CA25931-9657-4586-8C0D-8605CB57066E}"/>
    <hyperlink ref="T16" r:id="rId12" location="cfn-ec2-prefixlist-entry-description" tooltip="http://docs.aws.amazon.com/AWSCloudFormation/latest/UserGuide/aws-properties-ec2-prefixlist-entry.html#cfn-ec2-prefixlist-entry-description" xr:uid="{2E72F81E-563D-47F4-BE62-4E53E7086880}"/>
    <hyperlink ref="T17" r:id="rId13" location="cfn-ec2-prefixlist-entry-cidr" tooltip="http://docs.aws.amazon.com/AWSCloudFormation/latest/UserGuide/aws-properties-ec2-prefixlist-entry.html#cfn-ec2-prefixlist-entry-cidr" xr:uid="{7C547F27-7E44-4B12-A0C9-B05B51E770E0}"/>
    <hyperlink ref="T18" r:id="rId14" location="cfn-ec2-prefixlist-entry-description" tooltip="http://docs.aws.amazon.com/AWSCloudFormation/latest/UserGuide/aws-properties-ec2-prefixlist-entry.html#cfn-ec2-prefixlist-entry-description" xr:uid="{B1B48435-39D5-4B4E-A136-5ADC69152121}"/>
    <hyperlink ref="T19" r:id="rId15" location="cfn-ec2-prefixlist-entry-cidr" tooltip="http://docs.aws.amazon.com/AWSCloudFormation/latest/UserGuide/aws-properties-ec2-prefixlist-entry.html#cfn-ec2-prefixlist-entry-cidr" xr:uid="{075DB86A-CE59-4426-8CEB-5C86949181F8}"/>
    <hyperlink ref="T20" r:id="rId16" location="cfn-ec2-prefixlist-entry-description" tooltip="http://docs.aws.amazon.com/AWSCloudFormation/latest/UserGuide/aws-properties-ec2-prefixlist-entry.html#cfn-ec2-prefixlist-entry-description" xr:uid="{07EEF2BF-98F4-46EA-9EDF-4A75F40C29EE}"/>
    <hyperlink ref="T21" r:id="rId17" location="cfn-ec2-prefixlist-entry-cidr" tooltip="http://docs.aws.amazon.com/AWSCloudFormation/latest/UserGuide/aws-properties-ec2-prefixlist-entry.html#cfn-ec2-prefixlist-entry-cidr" xr:uid="{F5DFFC78-A1CA-46FC-AA56-005F05781262}"/>
    <hyperlink ref="T22" r:id="rId18" location="cfn-ec2-prefixlist-entry-description" tooltip="http://docs.aws.amazon.com/AWSCloudFormation/latest/UserGuide/aws-properties-ec2-prefixlist-entry.html#cfn-ec2-prefixlist-entry-description" xr:uid="{C63A564A-189B-494C-9840-A02288CA62E2}"/>
    <hyperlink ref="T23" r:id="rId19" location="cfn-ec2-prefixlist-entry-cidr" tooltip="http://docs.aws.amazon.com/AWSCloudFormation/latest/UserGuide/aws-properties-ec2-prefixlist-entry.html#cfn-ec2-prefixlist-entry-cidr" xr:uid="{8C523477-F13A-43FB-8CD6-7A0D5F896C82}"/>
    <hyperlink ref="T24" r:id="rId20" location="cfn-ec2-prefixlist-entry-description" tooltip="http://docs.aws.amazon.com/AWSCloudFormation/latest/UserGuide/aws-properties-ec2-prefixlist-entry.html#cfn-ec2-prefixlist-entry-description" xr:uid="{87A3ABB5-BFA2-46F1-B69D-018CD602AC67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540CC-448D-481C-972A-83C55F9BFB44}">
  <sheetPr codeName="Sheet137"/>
  <dimension ref="A1:X51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X1" sqref="X1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8" style="8" bestFit="1" customWidth="1"/>
    <col min="23" max="24" width="35.75" customWidth="1"/>
  </cols>
  <sheetData>
    <row r="1" spans="1:24">
      <c r="A1" s="14" t="s">
        <v>141</v>
      </c>
      <c r="W1" s="8" t="s">
        <v>372</v>
      </c>
      <c r="X1" s="8" t="s">
        <v>372</v>
      </c>
    </row>
    <row r="2" spans="1:24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>"Value" &amp; COLUMN() -  21</f>
        <v>Value2</v>
      </c>
      <c r="X2" s="7" t="str">
        <f>"Value" &amp; COLUMN() -  21</f>
        <v>Value3</v>
      </c>
    </row>
    <row r="3" spans="1:24">
      <c r="B3" s="34">
        <f t="shared" ref="B3:B34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/>
      <c r="W3" s="9" t="str">
        <f>Setting!$D$10&amp;"-"&amp;RIGHT($E$4,LEN($E$4)-FIND(";",SUBSTITUTE($E$4,":",";",LEN($E$4)-LEN(SUBSTITUTE($E$4,":","")))))&amp;"-SSM-EndPoint"</f>
        <v>mirai-SecurityGroup-SSM-EndPoint</v>
      </c>
      <c r="X3" s="9" t="str">
        <f>Setting!$D$10&amp;"-"&amp;RIGHT($E$4,LEN($E$4)-FIND(";",SUBSTITUTE($E$4,":",";",LEN($E$4)-LEN(SUBSTITUTE($E$4,":","")))))&amp;"-SSM-Target"</f>
        <v>mirai-SecurityGroup-SSM-Target</v>
      </c>
    </row>
    <row r="4" spans="1:24">
      <c r="B4" s="34">
        <f t="shared" si="0"/>
        <v>2</v>
      </c>
      <c r="C4" s="18"/>
      <c r="D4" s="23"/>
      <c r="E4" s="37" t="s">
        <v>181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  <c r="X4" s="22"/>
    </row>
    <row r="5" spans="1:24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  <c r="X5" s="22"/>
    </row>
    <row r="6" spans="1:24">
      <c r="B6" s="34">
        <f t="shared" si="0"/>
        <v>4</v>
      </c>
      <c r="C6" s="18"/>
      <c r="D6" s="23"/>
      <c r="E6" s="19"/>
      <c r="F6" s="35" t="s">
        <v>182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/>
      <c r="W6" s="9" t="str">
        <f>$W$3</f>
        <v>mirai-SecurityGroup-SSM-EndPoint</v>
      </c>
      <c r="X6" s="9" t="str">
        <f>$X$3</f>
        <v>mirai-SecurityGroup-SSM-Target</v>
      </c>
    </row>
    <row r="7" spans="1:24">
      <c r="B7" s="34">
        <f t="shared" si="0"/>
        <v>5</v>
      </c>
      <c r="C7" s="18"/>
      <c r="D7" s="23"/>
      <c r="E7" s="19"/>
      <c r="F7" s="35" t="s">
        <v>183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  <c r="W7" s="9" t="str">
        <f>$W$3</f>
        <v>mirai-SecurityGroup-SSM-EndPoint</v>
      </c>
      <c r="X7" s="9" t="str">
        <f>$X$3</f>
        <v>mirai-SecurityGroup-SSM-Target</v>
      </c>
    </row>
    <row r="8" spans="1:24">
      <c r="B8" s="34">
        <f t="shared" si="0"/>
        <v>6</v>
      </c>
      <c r="C8" s="18"/>
      <c r="D8" s="23"/>
      <c r="E8" s="19"/>
      <c r="F8" s="40" t="s">
        <v>184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5"/>
      <c r="S8" s="41" t="s">
        <v>146</v>
      </c>
      <c r="T8" s="42" t="s">
        <v>147</v>
      </c>
      <c r="U8" s="26"/>
      <c r="V8" s="26"/>
      <c r="W8" s="26"/>
      <c r="X8" s="26"/>
    </row>
    <row r="9" spans="1:24">
      <c r="B9" s="34">
        <f t="shared" si="0"/>
        <v>7</v>
      </c>
      <c r="C9" s="18"/>
      <c r="D9" s="23"/>
      <c r="E9" s="19"/>
      <c r="F9" s="24"/>
      <c r="G9" s="50" t="s">
        <v>153</v>
      </c>
      <c r="H9" s="35" t="s">
        <v>185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36" t="s">
        <v>147</v>
      </c>
      <c r="U9" s="9"/>
      <c r="V9" s="9"/>
      <c r="W9" s="9" t="s">
        <v>275</v>
      </c>
      <c r="X9" s="9" t="s">
        <v>275</v>
      </c>
    </row>
    <row r="10" spans="1:24">
      <c r="B10" s="34">
        <f t="shared" si="0"/>
        <v>8</v>
      </c>
      <c r="C10" s="18"/>
      <c r="D10" s="23"/>
      <c r="E10" s="19"/>
      <c r="F10" s="24"/>
      <c r="G10" s="15"/>
      <c r="H10" s="35" t="s">
        <v>186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/>
      <c r="W10" s="9"/>
      <c r="X10" s="9"/>
    </row>
    <row r="11" spans="1:24">
      <c r="B11" s="34">
        <f t="shared" si="0"/>
        <v>9</v>
      </c>
      <c r="C11" s="18"/>
      <c r="D11" s="23"/>
      <c r="E11" s="19"/>
      <c r="F11" s="24"/>
      <c r="G11" s="15"/>
      <c r="H11" s="35" t="s">
        <v>187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/>
      <c r="W11" s="9"/>
      <c r="X11" s="9"/>
    </row>
    <row r="12" spans="1:24">
      <c r="B12" s="34">
        <f t="shared" si="0"/>
        <v>10</v>
      </c>
      <c r="C12" s="18"/>
      <c r="D12" s="23"/>
      <c r="E12" s="19"/>
      <c r="F12" s="24"/>
      <c r="G12" s="15"/>
      <c r="H12" s="35" t="s">
        <v>188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36" t="s">
        <v>147</v>
      </c>
      <c r="U12" s="9"/>
      <c r="V12" s="9"/>
      <c r="W12" s="9"/>
      <c r="X12" s="9"/>
    </row>
    <row r="13" spans="1:24">
      <c r="B13" s="34">
        <f t="shared" si="0"/>
        <v>11</v>
      </c>
      <c r="C13" s="18"/>
      <c r="D13" s="23"/>
      <c r="E13" s="19"/>
      <c r="F13" s="24"/>
      <c r="G13" s="15"/>
      <c r="H13" s="35" t="s">
        <v>189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4" t="s">
        <v>143</v>
      </c>
      <c r="T13" s="36" t="s">
        <v>147</v>
      </c>
      <c r="U13" s="9"/>
      <c r="V13" s="9"/>
      <c r="W13" s="9"/>
      <c r="X13" s="9"/>
    </row>
    <row r="14" spans="1:24">
      <c r="B14" s="34">
        <f t="shared" si="0"/>
        <v>12</v>
      </c>
      <c r="C14" s="18"/>
      <c r="D14" s="23"/>
      <c r="E14" s="19"/>
      <c r="F14" s="24"/>
      <c r="G14" s="15"/>
      <c r="H14" s="35" t="s">
        <v>190</v>
      </c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4" t="s">
        <v>162</v>
      </c>
      <c r="T14" s="36" t="s">
        <v>147</v>
      </c>
      <c r="U14" s="9"/>
      <c r="V14" s="9"/>
      <c r="W14" s="9"/>
      <c r="X14" s="9"/>
    </row>
    <row r="15" spans="1:24">
      <c r="B15" s="34">
        <f t="shared" si="0"/>
        <v>13</v>
      </c>
      <c r="C15" s="18"/>
      <c r="D15" s="23"/>
      <c r="E15" s="19"/>
      <c r="F15" s="24"/>
      <c r="G15" s="15"/>
      <c r="H15" s="35" t="s">
        <v>191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4" t="s">
        <v>143</v>
      </c>
      <c r="T15" s="36" t="s">
        <v>147</v>
      </c>
      <c r="U15" s="9"/>
      <c r="V15" s="9"/>
      <c r="W15" s="9">
        <v>-1</v>
      </c>
      <c r="X15" s="9">
        <v>-1</v>
      </c>
    </row>
    <row r="16" spans="1:24">
      <c r="B16" s="34">
        <f t="shared" si="0"/>
        <v>14</v>
      </c>
      <c r="C16" s="18"/>
      <c r="D16" s="23"/>
      <c r="E16" s="19"/>
      <c r="F16" s="24"/>
      <c r="G16" s="15"/>
      <c r="H16" s="35" t="s">
        <v>192</v>
      </c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4" t="s">
        <v>162</v>
      </c>
      <c r="T16" s="36" t="s">
        <v>147</v>
      </c>
      <c r="U16" s="9"/>
      <c r="V16" s="9"/>
      <c r="W16" s="9"/>
      <c r="X16" s="9"/>
    </row>
    <row r="17" spans="2:24">
      <c r="B17" s="34">
        <f t="shared" si="0"/>
        <v>15</v>
      </c>
      <c r="C17" s="18"/>
      <c r="D17" s="23"/>
      <c r="E17" s="19"/>
      <c r="F17" s="24"/>
      <c r="G17" s="50" t="s">
        <v>153</v>
      </c>
      <c r="H17" s="35" t="s">
        <v>185</v>
      </c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34" t="s">
        <v>143</v>
      </c>
      <c r="T17" s="36" t="s">
        <v>147</v>
      </c>
      <c r="U17" s="9"/>
      <c r="V17" s="9"/>
      <c r="W17" s="9"/>
      <c r="X17" s="9"/>
    </row>
    <row r="18" spans="2:24">
      <c r="B18" s="34">
        <f t="shared" si="0"/>
        <v>16</v>
      </c>
      <c r="C18" s="18"/>
      <c r="D18" s="23"/>
      <c r="E18" s="19"/>
      <c r="F18" s="24"/>
      <c r="G18" s="15"/>
      <c r="H18" s="35" t="s">
        <v>186</v>
      </c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34" t="s">
        <v>143</v>
      </c>
      <c r="T18" s="36" t="s">
        <v>147</v>
      </c>
      <c r="U18" s="9"/>
      <c r="V18" s="9"/>
      <c r="W18" s="9"/>
      <c r="X18" s="9"/>
    </row>
    <row r="19" spans="2:24">
      <c r="B19" s="34">
        <f t="shared" si="0"/>
        <v>17</v>
      </c>
      <c r="C19" s="18"/>
      <c r="D19" s="23"/>
      <c r="E19" s="19"/>
      <c r="F19" s="24"/>
      <c r="G19" s="15"/>
      <c r="H19" s="35" t="s">
        <v>187</v>
      </c>
      <c r="I19" s="15"/>
      <c r="J19" s="15"/>
      <c r="K19" s="15"/>
      <c r="L19" s="15"/>
      <c r="M19" s="15"/>
      <c r="N19" s="15"/>
      <c r="O19" s="15"/>
      <c r="P19" s="15"/>
      <c r="Q19" s="15"/>
      <c r="R19" s="16"/>
      <c r="S19" s="34" t="s">
        <v>143</v>
      </c>
      <c r="T19" s="36" t="s">
        <v>147</v>
      </c>
      <c r="U19" s="9"/>
      <c r="V19" s="9"/>
      <c r="W19" s="9"/>
      <c r="X19" s="9"/>
    </row>
    <row r="20" spans="2:24">
      <c r="B20" s="34">
        <f t="shared" si="0"/>
        <v>18</v>
      </c>
      <c r="C20" s="18"/>
      <c r="D20" s="23"/>
      <c r="E20" s="19"/>
      <c r="F20" s="24"/>
      <c r="G20" s="15"/>
      <c r="H20" s="35" t="s">
        <v>188</v>
      </c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34" t="s">
        <v>143</v>
      </c>
      <c r="T20" s="36" t="s">
        <v>147</v>
      </c>
      <c r="U20" s="9"/>
      <c r="V20" s="9"/>
      <c r="W20" s="9"/>
      <c r="X20" s="9"/>
    </row>
    <row r="21" spans="2:24">
      <c r="B21" s="34">
        <f t="shared" si="0"/>
        <v>19</v>
      </c>
      <c r="C21" s="18"/>
      <c r="D21" s="23"/>
      <c r="E21" s="19"/>
      <c r="F21" s="24"/>
      <c r="G21" s="15"/>
      <c r="H21" s="35" t="s">
        <v>189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34" t="s">
        <v>143</v>
      </c>
      <c r="T21" s="36" t="s">
        <v>147</v>
      </c>
      <c r="U21" s="9"/>
      <c r="V21" s="9"/>
      <c r="W21" s="9"/>
      <c r="X21" s="9"/>
    </row>
    <row r="22" spans="2:24">
      <c r="B22" s="34">
        <f t="shared" si="0"/>
        <v>20</v>
      </c>
      <c r="C22" s="18"/>
      <c r="D22" s="23"/>
      <c r="E22" s="19"/>
      <c r="F22" s="24"/>
      <c r="G22" s="15"/>
      <c r="H22" s="35" t="s">
        <v>190</v>
      </c>
      <c r="I22" s="15"/>
      <c r="J22" s="15"/>
      <c r="K22" s="15"/>
      <c r="L22" s="15"/>
      <c r="M22" s="15"/>
      <c r="N22" s="15"/>
      <c r="O22" s="15"/>
      <c r="P22" s="15"/>
      <c r="Q22" s="15"/>
      <c r="R22" s="16"/>
      <c r="S22" s="34" t="s">
        <v>162</v>
      </c>
      <c r="T22" s="36" t="s">
        <v>147</v>
      </c>
      <c r="U22" s="9"/>
      <c r="V22" s="9"/>
      <c r="W22" s="9"/>
      <c r="X22" s="9"/>
    </row>
    <row r="23" spans="2:24">
      <c r="B23" s="34">
        <f t="shared" si="0"/>
        <v>21</v>
      </c>
      <c r="C23" s="18"/>
      <c r="D23" s="23"/>
      <c r="E23" s="19"/>
      <c r="F23" s="24"/>
      <c r="G23" s="15"/>
      <c r="H23" s="35" t="s">
        <v>191</v>
      </c>
      <c r="I23" s="15"/>
      <c r="J23" s="15"/>
      <c r="K23" s="15"/>
      <c r="L23" s="15"/>
      <c r="M23" s="15"/>
      <c r="N23" s="15"/>
      <c r="O23" s="15"/>
      <c r="P23" s="15"/>
      <c r="Q23" s="15"/>
      <c r="R23" s="16"/>
      <c r="S23" s="34" t="s">
        <v>143</v>
      </c>
      <c r="T23" s="36" t="s">
        <v>147</v>
      </c>
      <c r="U23" s="9"/>
      <c r="V23" s="9"/>
      <c r="W23" s="9"/>
      <c r="X23" s="9"/>
    </row>
    <row r="24" spans="2:24">
      <c r="B24" s="34">
        <f t="shared" si="0"/>
        <v>22</v>
      </c>
      <c r="C24" s="18"/>
      <c r="D24" s="23"/>
      <c r="E24" s="19"/>
      <c r="F24" s="24"/>
      <c r="G24" s="15"/>
      <c r="H24" s="35" t="s">
        <v>192</v>
      </c>
      <c r="I24" s="15"/>
      <c r="J24" s="15"/>
      <c r="K24" s="15"/>
      <c r="L24" s="15"/>
      <c r="M24" s="15"/>
      <c r="N24" s="15"/>
      <c r="O24" s="15"/>
      <c r="P24" s="15"/>
      <c r="Q24" s="15"/>
      <c r="R24" s="16"/>
      <c r="S24" s="34" t="s">
        <v>162</v>
      </c>
      <c r="T24" s="36" t="s">
        <v>147</v>
      </c>
      <c r="U24" s="9"/>
      <c r="V24" s="9"/>
      <c r="W24" s="9"/>
      <c r="X24" s="9"/>
    </row>
    <row r="25" spans="2:24">
      <c r="B25" s="34">
        <f t="shared" si="0"/>
        <v>23</v>
      </c>
      <c r="C25" s="18"/>
      <c r="D25" s="23"/>
      <c r="E25" s="19"/>
      <c r="F25" s="40" t="s">
        <v>193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5"/>
      <c r="S25" s="41" t="s">
        <v>146</v>
      </c>
      <c r="T25" s="42" t="s">
        <v>147</v>
      </c>
      <c r="U25" s="26"/>
      <c r="V25" s="26"/>
      <c r="W25" s="26"/>
      <c r="X25" s="26"/>
    </row>
    <row r="26" spans="2:24">
      <c r="B26" s="34">
        <f t="shared" si="0"/>
        <v>24</v>
      </c>
      <c r="C26" s="18"/>
      <c r="D26" s="23"/>
      <c r="E26" s="19"/>
      <c r="F26" s="24"/>
      <c r="G26" s="50" t="s">
        <v>153</v>
      </c>
      <c r="H26" s="35" t="s">
        <v>185</v>
      </c>
      <c r="I26" s="15"/>
      <c r="J26" s="15"/>
      <c r="K26" s="15"/>
      <c r="L26" s="15"/>
      <c r="M26" s="15"/>
      <c r="N26" s="15"/>
      <c r="O26" s="15"/>
      <c r="P26" s="15"/>
      <c r="Q26" s="15"/>
      <c r="R26" s="16"/>
      <c r="S26" s="34" t="s">
        <v>143</v>
      </c>
      <c r="T26" s="36" t="s">
        <v>147</v>
      </c>
      <c r="U26" s="9"/>
      <c r="V26" s="9"/>
      <c r="W26" s="9"/>
      <c r="X26" s="9"/>
    </row>
    <row r="27" spans="2:24">
      <c r="B27" s="34">
        <f t="shared" si="0"/>
        <v>25</v>
      </c>
      <c r="C27" s="18"/>
      <c r="D27" s="23"/>
      <c r="E27" s="19"/>
      <c r="F27" s="24"/>
      <c r="G27" s="15"/>
      <c r="H27" s="35" t="s">
        <v>186</v>
      </c>
      <c r="I27" s="15"/>
      <c r="J27" s="15"/>
      <c r="K27" s="15"/>
      <c r="L27" s="15"/>
      <c r="M27" s="15"/>
      <c r="N27" s="15"/>
      <c r="O27" s="15"/>
      <c r="P27" s="15"/>
      <c r="Q27" s="15"/>
      <c r="R27" s="16"/>
      <c r="S27" s="34" t="s">
        <v>143</v>
      </c>
      <c r="T27" s="36" t="s">
        <v>147</v>
      </c>
      <c r="U27" s="9"/>
      <c r="V27" s="9"/>
      <c r="W27" s="9"/>
      <c r="X27" s="9"/>
    </row>
    <row r="28" spans="2:24">
      <c r="B28" s="34">
        <f t="shared" si="0"/>
        <v>26</v>
      </c>
      <c r="C28" s="18"/>
      <c r="D28" s="23"/>
      <c r="E28" s="19"/>
      <c r="F28" s="24"/>
      <c r="G28" s="15"/>
      <c r="H28" s="35" t="s">
        <v>187</v>
      </c>
      <c r="I28" s="15"/>
      <c r="J28" s="15"/>
      <c r="K28" s="15"/>
      <c r="L28" s="15"/>
      <c r="M28" s="15"/>
      <c r="N28" s="15"/>
      <c r="O28" s="15"/>
      <c r="P28" s="15"/>
      <c r="Q28" s="15"/>
      <c r="R28" s="16"/>
      <c r="S28" s="34" t="s">
        <v>143</v>
      </c>
      <c r="T28" s="36" t="s">
        <v>147</v>
      </c>
      <c r="U28" s="9"/>
      <c r="V28" s="9"/>
      <c r="W28" s="9"/>
      <c r="X28" s="9"/>
    </row>
    <row r="29" spans="2:24">
      <c r="B29" s="34">
        <f t="shared" si="0"/>
        <v>27</v>
      </c>
      <c r="C29" s="18"/>
      <c r="D29" s="23"/>
      <c r="E29" s="19"/>
      <c r="F29" s="24"/>
      <c r="G29" s="15"/>
      <c r="H29" s="35" t="s">
        <v>190</v>
      </c>
      <c r="I29" s="15"/>
      <c r="J29" s="15"/>
      <c r="K29" s="15"/>
      <c r="L29" s="15"/>
      <c r="M29" s="15"/>
      <c r="N29" s="15"/>
      <c r="O29" s="15"/>
      <c r="P29" s="15"/>
      <c r="Q29" s="15"/>
      <c r="R29" s="16"/>
      <c r="S29" s="34" t="s">
        <v>162</v>
      </c>
      <c r="T29" s="36" t="s">
        <v>147</v>
      </c>
      <c r="U29" s="9"/>
      <c r="V29" s="9"/>
      <c r="W29" s="9"/>
      <c r="X29" s="9"/>
    </row>
    <row r="30" spans="2:24">
      <c r="B30" s="34">
        <f t="shared" si="0"/>
        <v>28</v>
      </c>
      <c r="C30" s="18"/>
      <c r="D30" s="23"/>
      <c r="E30" s="19"/>
      <c r="F30" s="24"/>
      <c r="G30" s="15"/>
      <c r="H30" s="35" t="s">
        <v>191</v>
      </c>
      <c r="I30" s="15"/>
      <c r="J30" s="15"/>
      <c r="K30" s="15"/>
      <c r="L30" s="15"/>
      <c r="M30" s="15"/>
      <c r="N30" s="15"/>
      <c r="O30" s="15"/>
      <c r="P30" s="15"/>
      <c r="Q30" s="15"/>
      <c r="R30" s="16"/>
      <c r="S30" s="34" t="s">
        <v>143</v>
      </c>
      <c r="T30" s="36" t="s">
        <v>147</v>
      </c>
      <c r="U30" s="9"/>
      <c r="V30" s="9"/>
      <c r="W30" s="9"/>
      <c r="X30" s="9"/>
    </row>
    <row r="31" spans="2:24">
      <c r="B31" s="34">
        <f t="shared" si="0"/>
        <v>29</v>
      </c>
      <c r="C31" s="18"/>
      <c r="D31" s="23"/>
      <c r="E31" s="19"/>
      <c r="F31" s="24"/>
      <c r="G31" s="15"/>
      <c r="H31" s="35" t="s">
        <v>194</v>
      </c>
      <c r="I31" s="15"/>
      <c r="J31" s="15"/>
      <c r="K31" s="15"/>
      <c r="L31" s="15"/>
      <c r="M31" s="15"/>
      <c r="N31" s="15"/>
      <c r="O31" s="15"/>
      <c r="P31" s="15"/>
      <c r="Q31" s="15"/>
      <c r="R31" s="16"/>
      <c r="S31" s="34" t="s">
        <v>143</v>
      </c>
      <c r="T31" s="36" t="s">
        <v>147</v>
      </c>
      <c r="U31" s="9"/>
      <c r="V31" s="9"/>
      <c r="W31" s="9"/>
      <c r="X31" s="9"/>
    </row>
    <row r="32" spans="2:24">
      <c r="B32" s="34">
        <f t="shared" si="0"/>
        <v>30</v>
      </c>
      <c r="C32" s="18"/>
      <c r="D32" s="23"/>
      <c r="E32" s="19"/>
      <c r="F32" s="24"/>
      <c r="G32" s="15"/>
      <c r="H32" s="35" t="s">
        <v>195</v>
      </c>
      <c r="I32" s="15"/>
      <c r="J32" s="15"/>
      <c r="K32" s="15"/>
      <c r="L32" s="15"/>
      <c r="M32" s="15"/>
      <c r="N32" s="15"/>
      <c r="O32" s="15"/>
      <c r="P32" s="15"/>
      <c r="Q32" s="15"/>
      <c r="R32" s="16"/>
      <c r="S32" s="34" t="s">
        <v>143</v>
      </c>
      <c r="T32" s="36" t="s">
        <v>147</v>
      </c>
      <c r="U32" s="9"/>
      <c r="V32" s="9"/>
      <c r="W32" s="9"/>
      <c r="X32" s="9"/>
    </row>
    <row r="33" spans="2:24">
      <c r="B33" s="34">
        <f t="shared" si="0"/>
        <v>31</v>
      </c>
      <c r="C33" s="18"/>
      <c r="D33" s="23"/>
      <c r="E33" s="19"/>
      <c r="F33" s="24"/>
      <c r="G33" s="15"/>
      <c r="H33" s="35" t="s">
        <v>196</v>
      </c>
      <c r="I33" s="15"/>
      <c r="J33" s="15"/>
      <c r="K33" s="15"/>
      <c r="L33" s="15"/>
      <c r="M33" s="15"/>
      <c r="N33" s="15"/>
      <c r="O33" s="15"/>
      <c r="P33" s="15"/>
      <c r="Q33" s="15"/>
      <c r="R33" s="16"/>
      <c r="S33" s="34" t="s">
        <v>143</v>
      </c>
      <c r="T33" s="36" t="s">
        <v>147</v>
      </c>
      <c r="U33" s="9"/>
      <c r="V33" s="9"/>
      <c r="W33" s="9"/>
      <c r="X33" s="9"/>
    </row>
    <row r="34" spans="2:24">
      <c r="B34" s="34">
        <f t="shared" si="0"/>
        <v>32</v>
      </c>
      <c r="C34" s="18"/>
      <c r="D34" s="23"/>
      <c r="E34" s="19"/>
      <c r="F34" s="24"/>
      <c r="G34" s="15"/>
      <c r="H34" s="35" t="s">
        <v>197</v>
      </c>
      <c r="I34" s="15"/>
      <c r="J34" s="15"/>
      <c r="K34" s="15"/>
      <c r="L34" s="15"/>
      <c r="M34" s="15"/>
      <c r="N34" s="15"/>
      <c r="O34" s="15"/>
      <c r="P34" s="15"/>
      <c r="Q34" s="15"/>
      <c r="R34" s="16"/>
      <c r="S34" s="34" t="s">
        <v>143</v>
      </c>
      <c r="T34" s="36" t="s">
        <v>147</v>
      </c>
      <c r="U34" s="9"/>
      <c r="V34" s="9"/>
      <c r="W34" s="9"/>
      <c r="X34" s="9"/>
    </row>
    <row r="35" spans="2:24">
      <c r="B35" s="34">
        <f t="shared" ref="B35:B51" si="1">ROW()-2</f>
        <v>33</v>
      </c>
      <c r="C35" s="18"/>
      <c r="D35" s="23"/>
      <c r="E35" s="19"/>
      <c r="F35" s="24"/>
      <c r="G35" s="15"/>
      <c r="H35" s="35" t="s">
        <v>192</v>
      </c>
      <c r="I35" s="15"/>
      <c r="J35" s="15"/>
      <c r="K35" s="15"/>
      <c r="L35" s="15"/>
      <c r="M35" s="15"/>
      <c r="N35" s="15"/>
      <c r="O35" s="15"/>
      <c r="P35" s="15"/>
      <c r="Q35" s="15"/>
      <c r="R35" s="16"/>
      <c r="S35" s="34" t="s">
        <v>162</v>
      </c>
      <c r="T35" s="36" t="s">
        <v>147</v>
      </c>
      <c r="U35" s="9"/>
      <c r="V35" s="9"/>
      <c r="W35" s="9"/>
      <c r="X35" s="9"/>
    </row>
    <row r="36" spans="2:24">
      <c r="B36" s="34">
        <f t="shared" si="1"/>
        <v>34</v>
      </c>
      <c r="C36" s="18"/>
      <c r="D36" s="23"/>
      <c r="E36" s="19"/>
      <c r="F36" s="24"/>
      <c r="G36" s="50" t="s">
        <v>153</v>
      </c>
      <c r="H36" s="35" t="s">
        <v>185</v>
      </c>
      <c r="I36" s="15"/>
      <c r="J36" s="15"/>
      <c r="K36" s="15"/>
      <c r="L36" s="15"/>
      <c r="M36" s="15"/>
      <c r="N36" s="15"/>
      <c r="O36" s="15"/>
      <c r="P36" s="15"/>
      <c r="Q36" s="15"/>
      <c r="R36" s="16"/>
      <c r="S36" s="34" t="s">
        <v>143</v>
      </c>
      <c r="T36" s="36" t="s">
        <v>147</v>
      </c>
      <c r="U36" s="9"/>
      <c r="V36" s="9"/>
      <c r="W36" s="9"/>
      <c r="X36" s="9"/>
    </row>
    <row r="37" spans="2:24">
      <c r="B37" s="34">
        <f t="shared" si="1"/>
        <v>35</v>
      </c>
      <c r="C37" s="18"/>
      <c r="D37" s="23"/>
      <c r="E37" s="19"/>
      <c r="F37" s="24"/>
      <c r="G37" s="15"/>
      <c r="H37" s="35" t="s">
        <v>186</v>
      </c>
      <c r="I37" s="15"/>
      <c r="J37" s="15"/>
      <c r="K37" s="15"/>
      <c r="L37" s="15"/>
      <c r="M37" s="15"/>
      <c r="N37" s="15"/>
      <c r="O37" s="15"/>
      <c r="P37" s="15"/>
      <c r="Q37" s="15"/>
      <c r="R37" s="16"/>
      <c r="S37" s="34" t="s">
        <v>143</v>
      </c>
      <c r="T37" s="36" t="s">
        <v>147</v>
      </c>
      <c r="U37" s="9"/>
      <c r="V37" s="9"/>
      <c r="W37" s="9"/>
      <c r="X37" s="9"/>
    </row>
    <row r="38" spans="2:24">
      <c r="B38" s="34">
        <f t="shared" si="1"/>
        <v>36</v>
      </c>
      <c r="C38" s="18"/>
      <c r="D38" s="23"/>
      <c r="E38" s="19"/>
      <c r="F38" s="24"/>
      <c r="G38" s="15"/>
      <c r="H38" s="35" t="s">
        <v>187</v>
      </c>
      <c r="I38" s="15"/>
      <c r="J38" s="15"/>
      <c r="K38" s="15"/>
      <c r="L38" s="15"/>
      <c r="M38" s="15"/>
      <c r="N38" s="15"/>
      <c r="O38" s="15"/>
      <c r="P38" s="15"/>
      <c r="Q38" s="15"/>
      <c r="R38" s="16"/>
      <c r="S38" s="34" t="s">
        <v>143</v>
      </c>
      <c r="T38" s="36" t="s">
        <v>147</v>
      </c>
      <c r="U38" s="9"/>
      <c r="V38" s="9"/>
      <c r="W38" s="9"/>
      <c r="X38" s="9"/>
    </row>
    <row r="39" spans="2:24">
      <c r="B39" s="34">
        <f t="shared" si="1"/>
        <v>37</v>
      </c>
      <c r="C39" s="18"/>
      <c r="D39" s="23"/>
      <c r="E39" s="19"/>
      <c r="F39" s="24"/>
      <c r="G39" s="15"/>
      <c r="H39" s="35" t="s">
        <v>190</v>
      </c>
      <c r="I39" s="15"/>
      <c r="J39" s="15"/>
      <c r="K39" s="15"/>
      <c r="L39" s="15"/>
      <c r="M39" s="15"/>
      <c r="N39" s="15"/>
      <c r="O39" s="15"/>
      <c r="P39" s="15"/>
      <c r="Q39" s="15"/>
      <c r="R39" s="16"/>
      <c r="S39" s="34" t="s">
        <v>162</v>
      </c>
      <c r="T39" s="36" t="s">
        <v>147</v>
      </c>
      <c r="U39" s="9"/>
      <c r="V39" s="9"/>
      <c r="W39" s="9"/>
      <c r="X39" s="9"/>
    </row>
    <row r="40" spans="2:24">
      <c r="B40" s="34">
        <f t="shared" si="1"/>
        <v>38</v>
      </c>
      <c r="C40" s="18"/>
      <c r="D40" s="23"/>
      <c r="E40" s="19"/>
      <c r="F40" s="24"/>
      <c r="G40" s="15"/>
      <c r="H40" s="35" t="s">
        <v>191</v>
      </c>
      <c r="I40" s="15"/>
      <c r="J40" s="15"/>
      <c r="K40" s="15"/>
      <c r="L40" s="15"/>
      <c r="M40" s="15"/>
      <c r="N40" s="15"/>
      <c r="O40" s="15"/>
      <c r="P40" s="15"/>
      <c r="Q40" s="15"/>
      <c r="R40" s="16"/>
      <c r="S40" s="34" t="s">
        <v>143</v>
      </c>
      <c r="T40" s="36" t="s">
        <v>147</v>
      </c>
      <c r="U40" s="9"/>
      <c r="V40" s="9"/>
      <c r="W40" s="9"/>
      <c r="X40" s="9"/>
    </row>
    <row r="41" spans="2:24">
      <c r="B41" s="34">
        <f t="shared" si="1"/>
        <v>39</v>
      </c>
      <c r="C41" s="18"/>
      <c r="D41" s="23"/>
      <c r="E41" s="19"/>
      <c r="F41" s="24"/>
      <c r="G41" s="15"/>
      <c r="H41" s="35" t="s">
        <v>194</v>
      </c>
      <c r="I41" s="15"/>
      <c r="J41" s="15"/>
      <c r="K41" s="15"/>
      <c r="L41" s="15"/>
      <c r="M41" s="15"/>
      <c r="N41" s="15"/>
      <c r="O41" s="15"/>
      <c r="P41" s="15"/>
      <c r="Q41" s="15"/>
      <c r="R41" s="16"/>
      <c r="S41" s="34" t="s">
        <v>143</v>
      </c>
      <c r="T41" s="36" t="s">
        <v>147</v>
      </c>
      <c r="U41" s="9"/>
      <c r="V41" s="9"/>
      <c r="W41" s="9"/>
      <c r="X41" s="9"/>
    </row>
    <row r="42" spans="2:24">
      <c r="B42" s="34">
        <f t="shared" si="1"/>
        <v>40</v>
      </c>
      <c r="C42" s="18"/>
      <c r="D42" s="23"/>
      <c r="E42" s="19"/>
      <c r="F42" s="24"/>
      <c r="G42" s="15"/>
      <c r="H42" s="35" t="s">
        <v>195</v>
      </c>
      <c r="I42" s="15"/>
      <c r="J42" s="15"/>
      <c r="K42" s="15"/>
      <c r="L42" s="15"/>
      <c r="M42" s="15"/>
      <c r="N42" s="15"/>
      <c r="O42" s="15"/>
      <c r="P42" s="15"/>
      <c r="Q42" s="15"/>
      <c r="R42" s="16"/>
      <c r="S42" s="34" t="s">
        <v>143</v>
      </c>
      <c r="T42" s="36" t="s">
        <v>147</v>
      </c>
      <c r="U42" s="9"/>
      <c r="V42" s="9"/>
      <c r="W42" s="9"/>
      <c r="X42" s="9"/>
    </row>
    <row r="43" spans="2:24">
      <c r="B43" s="34">
        <f t="shared" si="1"/>
        <v>41</v>
      </c>
      <c r="C43" s="18"/>
      <c r="D43" s="23"/>
      <c r="E43" s="19"/>
      <c r="F43" s="24"/>
      <c r="G43" s="15"/>
      <c r="H43" s="35" t="s">
        <v>196</v>
      </c>
      <c r="I43" s="15"/>
      <c r="J43" s="15"/>
      <c r="K43" s="15"/>
      <c r="L43" s="15"/>
      <c r="M43" s="15"/>
      <c r="N43" s="15"/>
      <c r="O43" s="15"/>
      <c r="P43" s="15"/>
      <c r="Q43" s="15"/>
      <c r="R43" s="16"/>
      <c r="S43" s="34" t="s">
        <v>143</v>
      </c>
      <c r="T43" s="36" t="s">
        <v>147</v>
      </c>
      <c r="U43" s="9"/>
      <c r="V43" s="9"/>
      <c r="W43" s="9"/>
      <c r="X43" s="9"/>
    </row>
    <row r="44" spans="2:24">
      <c r="B44" s="34">
        <f t="shared" si="1"/>
        <v>42</v>
      </c>
      <c r="C44" s="18"/>
      <c r="D44" s="23"/>
      <c r="E44" s="19"/>
      <c r="F44" s="24"/>
      <c r="G44" s="15"/>
      <c r="H44" s="35" t="s">
        <v>197</v>
      </c>
      <c r="I44" s="15"/>
      <c r="J44" s="15"/>
      <c r="K44" s="15"/>
      <c r="L44" s="15"/>
      <c r="M44" s="15"/>
      <c r="N44" s="15"/>
      <c r="O44" s="15"/>
      <c r="P44" s="15"/>
      <c r="Q44" s="15"/>
      <c r="R44" s="16"/>
      <c r="S44" s="34" t="s">
        <v>143</v>
      </c>
      <c r="T44" s="36" t="s">
        <v>147</v>
      </c>
      <c r="U44" s="9"/>
      <c r="V44" s="9"/>
      <c r="W44" s="9"/>
      <c r="X44" s="9"/>
    </row>
    <row r="45" spans="2:24">
      <c r="B45" s="34">
        <f t="shared" si="1"/>
        <v>43</v>
      </c>
      <c r="C45" s="18"/>
      <c r="D45" s="23"/>
      <c r="E45" s="19"/>
      <c r="F45" s="24"/>
      <c r="G45" s="15"/>
      <c r="H45" s="35" t="s">
        <v>192</v>
      </c>
      <c r="I45" s="15"/>
      <c r="J45" s="15"/>
      <c r="K45" s="15"/>
      <c r="L45" s="15"/>
      <c r="M45" s="15"/>
      <c r="N45" s="15"/>
      <c r="O45" s="15"/>
      <c r="P45" s="15"/>
      <c r="Q45" s="15"/>
      <c r="R45" s="16"/>
      <c r="S45" s="34" t="s">
        <v>162</v>
      </c>
      <c r="T45" s="36" t="s">
        <v>147</v>
      </c>
      <c r="U45" s="9"/>
      <c r="V45" s="9"/>
      <c r="W45" s="9"/>
      <c r="X45" s="9"/>
    </row>
    <row r="46" spans="2:24">
      <c r="B46" s="34">
        <f t="shared" si="1"/>
        <v>44</v>
      </c>
      <c r="C46" s="18"/>
      <c r="D46" s="23"/>
      <c r="E46" s="19"/>
      <c r="F46" s="40" t="s">
        <v>2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5"/>
      <c r="S46" s="41" t="s">
        <v>146</v>
      </c>
      <c r="T46" s="42" t="s">
        <v>147</v>
      </c>
      <c r="U46" s="26"/>
      <c r="V46" s="26"/>
      <c r="W46" s="26"/>
      <c r="X46" s="26"/>
    </row>
    <row r="47" spans="2:24">
      <c r="B47" s="34">
        <f t="shared" si="1"/>
        <v>45</v>
      </c>
      <c r="C47" s="18"/>
      <c r="D47" s="23"/>
      <c r="E47" s="19"/>
      <c r="F47" s="24"/>
      <c r="G47" s="50" t="s">
        <v>153</v>
      </c>
      <c r="H47" s="35" t="s">
        <v>154</v>
      </c>
      <c r="I47" s="15"/>
      <c r="J47" s="15"/>
      <c r="K47" s="15"/>
      <c r="L47" s="15"/>
      <c r="M47" s="15"/>
      <c r="N47" s="15"/>
      <c r="O47" s="15"/>
      <c r="P47" s="15"/>
      <c r="Q47" s="15"/>
      <c r="R47" s="16"/>
      <c r="S47" s="34" t="s">
        <v>143</v>
      </c>
      <c r="T47" s="36" t="s">
        <v>147</v>
      </c>
      <c r="U47" s="9"/>
      <c r="V47" s="9"/>
      <c r="W47" s="9"/>
      <c r="X47" s="9"/>
    </row>
    <row r="48" spans="2:24">
      <c r="B48" s="34">
        <f t="shared" si="1"/>
        <v>46</v>
      </c>
      <c r="C48" s="18"/>
      <c r="D48" s="23"/>
      <c r="E48" s="19"/>
      <c r="F48" s="24"/>
      <c r="G48" s="15"/>
      <c r="H48" s="35" t="s">
        <v>70</v>
      </c>
      <c r="I48" s="15"/>
      <c r="J48" s="15"/>
      <c r="K48" s="15"/>
      <c r="L48" s="15"/>
      <c r="M48" s="15"/>
      <c r="N48" s="15"/>
      <c r="O48" s="15"/>
      <c r="P48" s="15"/>
      <c r="Q48" s="15"/>
      <c r="R48" s="16"/>
      <c r="S48" s="34" t="s">
        <v>143</v>
      </c>
      <c r="T48" s="36" t="s">
        <v>147</v>
      </c>
      <c r="U48" s="9"/>
      <c r="V48" s="9"/>
      <c r="W48" s="9"/>
      <c r="X48" s="9"/>
    </row>
    <row r="49" spans="2:24">
      <c r="B49" s="34">
        <f t="shared" si="1"/>
        <v>47</v>
      </c>
      <c r="C49" s="18"/>
      <c r="D49" s="23"/>
      <c r="E49" s="19"/>
      <c r="F49" s="24"/>
      <c r="G49" s="50" t="s">
        <v>153</v>
      </c>
      <c r="H49" s="35" t="s">
        <v>154</v>
      </c>
      <c r="I49" s="15"/>
      <c r="J49" s="15"/>
      <c r="K49" s="15"/>
      <c r="L49" s="15"/>
      <c r="M49" s="15"/>
      <c r="N49" s="15"/>
      <c r="O49" s="15"/>
      <c r="P49" s="15"/>
      <c r="Q49" s="15"/>
      <c r="R49" s="16"/>
      <c r="S49" s="34" t="s">
        <v>143</v>
      </c>
      <c r="T49" s="36" t="s">
        <v>147</v>
      </c>
      <c r="U49" s="9"/>
      <c r="V49" s="9"/>
      <c r="W49" s="9"/>
      <c r="X49" s="9"/>
    </row>
    <row r="50" spans="2:24">
      <c r="B50" s="34">
        <f t="shared" si="1"/>
        <v>48</v>
      </c>
      <c r="C50" s="18"/>
      <c r="D50" s="23"/>
      <c r="E50" s="19"/>
      <c r="F50" s="24"/>
      <c r="G50" s="15"/>
      <c r="H50" s="35" t="s">
        <v>70</v>
      </c>
      <c r="I50" s="15"/>
      <c r="J50" s="15"/>
      <c r="K50" s="15"/>
      <c r="L50" s="15"/>
      <c r="M50" s="15"/>
      <c r="N50" s="15"/>
      <c r="O50" s="15"/>
      <c r="P50" s="15"/>
      <c r="Q50" s="15"/>
      <c r="R50" s="16"/>
      <c r="S50" s="34" t="s">
        <v>143</v>
      </c>
      <c r="T50" s="36" t="s">
        <v>147</v>
      </c>
      <c r="U50" s="9"/>
      <c r="V50" s="9"/>
      <c r="W50" s="9"/>
      <c r="X50" s="9"/>
    </row>
    <row r="51" spans="2:24">
      <c r="B51" s="34">
        <f t="shared" si="1"/>
        <v>49</v>
      </c>
      <c r="C51" s="18"/>
      <c r="D51" s="23"/>
      <c r="E51" s="19"/>
      <c r="F51" s="35" t="s">
        <v>160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6"/>
      <c r="S51" s="34" t="s">
        <v>143</v>
      </c>
      <c r="T51" s="36" t="s">
        <v>147</v>
      </c>
      <c r="U51" s="9"/>
      <c r="V51" s="9"/>
      <c r="W51" s="9" t="str">
        <f>VPC!$V$3</f>
        <v>mirai-VPC</v>
      </c>
      <c r="X51" s="9" t="str">
        <f>VPC!$V$3</f>
        <v>mirai-VPC</v>
      </c>
    </row>
  </sheetData>
  <phoneticPr fontId="1"/>
  <hyperlinks>
    <hyperlink ref="T4" r:id="rId1" tooltip="http://docs.aws.amazon.com/AWSCloudFormation/latest/UserGuide/aws-properties-ec2-security-group.html" xr:uid="{195A2743-F7C2-4A94-8748-F321FA899700}"/>
    <hyperlink ref="T6" r:id="rId2" location="cfn-ec2-securitygroup-groupdescription" tooltip="http://docs.aws.amazon.com/AWSCloudFormation/latest/UserGuide/aws-properties-ec2-security-group.html#cfn-ec2-securitygroup-groupdescription" xr:uid="{511D769A-CBBE-443B-BE28-48CB643551C2}"/>
    <hyperlink ref="T7" r:id="rId3" location="cfn-ec2-securitygroup-groupname" tooltip="http://docs.aws.amazon.com/AWSCloudFormation/latest/UserGuide/aws-properties-ec2-security-group.html#cfn-ec2-securitygroup-groupname" xr:uid="{3BE5A415-97D7-447E-98A4-11F1A3D42D64}"/>
    <hyperlink ref="T8" r:id="rId4" location="cfn-ec2-securitygroup-securitygroupegress" tooltip="http://docs.aws.amazon.com/AWSCloudFormation/latest/UserGuide/aws-properties-ec2-security-group.html#cfn-ec2-securitygroup-securitygroupegress" xr:uid="{A4A0AFC8-D335-441B-AD2D-20B104262EE9}"/>
    <hyperlink ref="T9" r:id="rId5" location="cfn-ec2-security-group-rule-cidrip" tooltip="http://docs.aws.amazon.com/AWSCloudFormation/latest/UserGuide/aws-properties-ec2-security-group-rule.html#cfn-ec2-security-group-rule-cidrip" xr:uid="{AB0E69F6-3620-4321-8B11-BD8FF3846C30}"/>
    <hyperlink ref="T10" r:id="rId6" location="cfn-ec2-security-group-rule-cidripv6" tooltip="http://docs.aws.amazon.com/AWSCloudFormation/latest/UserGuide/aws-properties-ec2-security-group-rule.html#cfn-ec2-security-group-rule-cidripv6" xr:uid="{53C500D7-6BBD-4C3A-B89C-CB22D1A4B4EA}"/>
    <hyperlink ref="T11" r:id="rId7" location="cfn-ec2-security-group-rule-description" tooltip="http://docs.aws.amazon.com/AWSCloudFormation/latest/UserGuide/aws-properties-ec2-security-group-rule.html#cfn-ec2-security-group-rule-description" xr:uid="{500C79DB-AF47-4411-987E-F65E561D682E}"/>
    <hyperlink ref="T12" r:id="rId8" location="cfn-ec2-security-group-rule-destinationprefixlistid" tooltip="http://docs.aws.amazon.com/AWSCloudFormation/latest/UserGuide/aws-properties-ec2-security-group-rule.html#cfn-ec2-security-group-rule-destinationprefixlistid" xr:uid="{19CD0394-564B-43CC-9312-19854A0946AE}"/>
    <hyperlink ref="T13" r:id="rId9" location="cfn-ec2-security-group-rule-destsecgroupid" tooltip="http://docs.aws.amazon.com/AWSCloudFormation/latest/UserGuide/aws-properties-ec2-security-group-rule.html#cfn-ec2-security-group-rule-destsecgroupid" xr:uid="{5D86A1FA-3F6F-4B95-B276-3078EC550339}"/>
    <hyperlink ref="T14" r:id="rId10" location="cfn-ec2-security-group-rule-fromport" tooltip="http://docs.aws.amazon.com/AWSCloudFormation/latest/UserGuide/aws-properties-ec2-security-group-rule.html#cfn-ec2-security-group-rule-fromport" xr:uid="{6A164C89-E0CA-4D29-8E6F-AA833917C639}"/>
    <hyperlink ref="T15" r:id="rId11" location="cfn-ec2-security-group-rule-ipprotocol" tooltip="http://docs.aws.amazon.com/AWSCloudFormation/latest/UserGuide/aws-properties-ec2-security-group-rule.html#cfn-ec2-security-group-rule-ipprotocol" xr:uid="{53FCA641-82D2-4EE4-92BF-C479A52861E4}"/>
    <hyperlink ref="T16" r:id="rId12" location="cfn-ec2-security-group-rule-toport" tooltip="http://docs.aws.amazon.com/AWSCloudFormation/latest/UserGuide/aws-properties-ec2-security-group-rule.html#cfn-ec2-security-group-rule-toport" xr:uid="{08CD753A-8E57-43C3-A7E7-F86DD58E5A40}"/>
    <hyperlink ref="T17" r:id="rId13" location="cfn-ec2-security-group-rule-cidrip" tooltip="http://docs.aws.amazon.com/AWSCloudFormation/latest/UserGuide/aws-properties-ec2-security-group-rule.html#cfn-ec2-security-group-rule-cidrip" xr:uid="{26E27458-766D-4253-B45D-4B6BA7BA0384}"/>
    <hyperlink ref="T18" r:id="rId14" location="cfn-ec2-security-group-rule-cidripv6" tooltip="http://docs.aws.amazon.com/AWSCloudFormation/latest/UserGuide/aws-properties-ec2-security-group-rule.html#cfn-ec2-security-group-rule-cidripv6" xr:uid="{97C338D1-3419-42AE-BB76-7256188C4572}"/>
    <hyperlink ref="T19" r:id="rId15" location="cfn-ec2-security-group-rule-description" tooltip="http://docs.aws.amazon.com/AWSCloudFormation/latest/UserGuide/aws-properties-ec2-security-group-rule.html#cfn-ec2-security-group-rule-description" xr:uid="{72A958CB-8AD9-4DA3-BF3F-025B8581A3E3}"/>
    <hyperlink ref="T20" r:id="rId16" location="cfn-ec2-security-group-rule-destinationprefixlistid" tooltip="http://docs.aws.amazon.com/AWSCloudFormation/latest/UserGuide/aws-properties-ec2-security-group-rule.html#cfn-ec2-security-group-rule-destinationprefixlistid" xr:uid="{9FDCC951-90D2-42D4-AB06-DA3A14054AEE}"/>
    <hyperlink ref="T21" r:id="rId17" location="cfn-ec2-security-group-rule-destsecgroupid" tooltip="http://docs.aws.amazon.com/AWSCloudFormation/latest/UserGuide/aws-properties-ec2-security-group-rule.html#cfn-ec2-security-group-rule-destsecgroupid" xr:uid="{D695EBF2-8227-48AA-B67E-C8B04F012BF4}"/>
    <hyperlink ref="T22" r:id="rId18" location="cfn-ec2-security-group-rule-fromport" tooltip="http://docs.aws.amazon.com/AWSCloudFormation/latest/UserGuide/aws-properties-ec2-security-group-rule.html#cfn-ec2-security-group-rule-fromport" xr:uid="{9C4A6FDD-D8E5-402F-B59C-91FB72D9988B}"/>
    <hyperlink ref="T23" r:id="rId19" location="cfn-ec2-security-group-rule-ipprotocol" tooltip="http://docs.aws.amazon.com/AWSCloudFormation/latest/UserGuide/aws-properties-ec2-security-group-rule.html#cfn-ec2-security-group-rule-ipprotocol" xr:uid="{1923D67D-93FA-4D95-B963-06E8D841244B}"/>
    <hyperlink ref="T24" r:id="rId20" location="cfn-ec2-security-group-rule-toport" tooltip="http://docs.aws.amazon.com/AWSCloudFormation/latest/UserGuide/aws-properties-ec2-security-group-rule.html#cfn-ec2-security-group-rule-toport" xr:uid="{6B8F5FED-CB8A-4031-98D2-95046F3B15DB}"/>
    <hyperlink ref="T25" r:id="rId21" location="cfn-ec2-securitygroup-securitygroupingress" tooltip="http://docs.aws.amazon.com/AWSCloudFormation/latest/UserGuide/aws-properties-ec2-security-group.html#cfn-ec2-securitygroup-securitygroupingress" xr:uid="{4A4DFBA1-484C-42E7-97F7-99EB0701F241}"/>
    <hyperlink ref="T26" r:id="rId22" location="cfn-ec2-security-group-rule-cidrip" tooltip="http://docs.aws.amazon.com/AWSCloudFormation/latest/UserGuide/aws-properties-ec2-security-group-rule.html#cfn-ec2-security-group-rule-cidrip" xr:uid="{EEA4D5B1-CC7B-44F6-9716-54C63E80284E}"/>
    <hyperlink ref="T27" r:id="rId23" location="cfn-ec2-security-group-rule-cidripv6" tooltip="http://docs.aws.amazon.com/AWSCloudFormation/latest/UserGuide/aws-properties-ec2-security-group-rule.html#cfn-ec2-security-group-rule-cidripv6" xr:uid="{4CD7AB1B-6882-4CDF-B688-6B271F496B85}"/>
    <hyperlink ref="T28" r:id="rId24" location="cfn-ec2-security-group-rule-description" tooltip="http://docs.aws.amazon.com/AWSCloudFormation/latest/UserGuide/aws-properties-ec2-security-group-rule.html#cfn-ec2-security-group-rule-description" xr:uid="{E1276107-F99D-4891-BCD3-6F38333EF69A}"/>
    <hyperlink ref="T29" r:id="rId25" location="cfn-ec2-security-group-rule-fromport" tooltip="http://docs.aws.amazon.com/AWSCloudFormation/latest/UserGuide/aws-properties-ec2-security-group-rule.html#cfn-ec2-security-group-rule-fromport" xr:uid="{4028531D-5B85-4F90-B42B-9D9ABF99F1D4}"/>
    <hyperlink ref="T30" r:id="rId26" location="cfn-ec2-security-group-rule-ipprotocol" tooltip="http://docs.aws.amazon.com/AWSCloudFormation/latest/UserGuide/aws-properties-ec2-security-group-rule.html#cfn-ec2-security-group-rule-ipprotocol" xr:uid="{B00698D7-A11A-448A-BBCC-B220B77BC6FA}"/>
    <hyperlink ref="T31" r:id="rId27" location="cfn-ec2-securitygroup-ingress-sourceprefixlistid" tooltip="http://docs.aws.amazon.com/AWSCloudFormation/latest/UserGuide/aws-properties-ec2-security-group-rule.html#cfn-ec2-securitygroup-ingress-sourceprefixlistid" xr:uid="{15F5E71C-6E6C-4F18-9E0D-127E6A04FAFD}"/>
    <hyperlink ref="T32" r:id="rId28" location="cfn-ec2-security-group-rule-sourcesecuritygroupid" tooltip="http://docs.aws.amazon.com/AWSCloudFormation/latest/UserGuide/aws-properties-ec2-security-group-rule.html#cfn-ec2-security-group-rule-sourcesecuritygroupid" xr:uid="{C387EB54-F52A-4565-869A-70A8293DAB9B}"/>
    <hyperlink ref="T33" r:id="rId29" location="cfn-ec2-security-group-rule-sourcesecuritygroupname" tooltip="http://docs.aws.amazon.com/AWSCloudFormation/latest/UserGuide/aws-properties-ec2-security-group-rule.html#cfn-ec2-security-group-rule-sourcesecuritygroupname" xr:uid="{8592AF16-F8A8-407B-B16F-2CC93924AA89}"/>
    <hyperlink ref="T34" r:id="rId30" location="cfn-ec2-security-group-rule-sourcesecuritygroupownerid" tooltip="http://docs.aws.amazon.com/AWSCloudFormation/latest/UserGuide/aws-properties-ec2-security-group-rule.html#cfn-ec2-security-group-rule-sourcesecuritygroupownerid" xr:uid="{7D3F0B32-AAC8-470B-BCF0-91FDD9A3A32F}"/>
    <hyperlink ref="T35" r:id="rId31" location="cfn-ec2-security-group-rule-toport" tooltip="http://docs.aws.amazon.com/AWSCloudFormation/latest/UserGuide/aws-properties-ec2-security-group-rule.html#cfn-ec2-security-group-rule-toport" xr:uid="{25CF588C-EBD3-46AA-9E75-EB4A005172AA}"/>
    <hyperlink ref="T36" r:id="rId32" location="cfn-ec2-security-group-rule-cidrip" tooltip="http://docs.aws.amazon.com/AWSCloudFormation/latest/UserGuide/aws-properties-ec2-security-group-rule.html#cfn-ec2-security-group-rule-cidrip" xr:uid="{5F09782D-B1FC-4D6B-B42B-7E9F5DE2C7A6}"/>
    <hyperlink ref="T37" r:id="rId33" location="cfn-ec2-security-group-rule-cidripv6" tooltip="http://docs.aws.amazon.com/AWSCloudFormation/latest/UserGuide/aws-properties-ec2-security-group-rule.html#cfn-ec2-security-group-rule-cidripv6" xr:uid="{06FD465F-3384-4297-89FC-BBC80FB3EEB7}"/>
    <hyperlink ref="T38" r:id="rId34" location="cfn-ec2-security-group-rule-description" tooltip="http://docs.aws.amazon.com/AWSCloudFormation/latest/UserGuide/aws-properties-ec2-security-group-rule.html#cfn-ec2-security-group-rule-description" xr:uid="{7B5EF755-6AB6-4D61-8C09-098DFBF59FB9}"/>
    <hyperlink ref="T39" r:id="rId35" location="cfn-ec2-security-group-rule-fromport" tooltip="http://docs.aws.amazon.com/AWSCloudFormation/latest/UserGuide/aws-properties-ec2-security-group-rule.html#cfn-ec2-security-group-rule-fromport" xr:uid="{5C597D3C-70FD-475B-98ED-97EBC67E948B}"/>
    <hyperlink ref="T40" r:id="rId36" location="cfn-ec2-security-group-rule-ipprotocol" tooltip="http://docs.aws.amazon.com/AWSCloudFormation/latest/UserGuide/aws-properties-ec2-security-group-rule.html#cfn-ec2-security-group-rule-ipprotocol" xr:uid="{8B63DFC0-AC89-4156-A170-C13BDAB16306}"/>
    <hyperlink ref="T41" r:id="rId37" location="cfn-ec2-securitygroup-ingress-sourceprefixlistid" tooltip="http://docs.aws.amazon.com/AWSCloudFormation/latest/UserGuide/aws-properties-ec2-security-group-rule.html#cfn-ec2-securitygroup-ingress-sourceprefixlistid" xr:uid="{2516F35A-AF26-4628-AC7F-C57A4D5BBB71}"/>
    <hyperlink ref="T42" r:id="rId38" location="cfn-ec2-security-group-rule-sourcesecuritygroupid" tooltip="http://docs.aws.amazon.com/AWSCloudFormation/latest/UserGuide/aws-properties-ec2-security-group-rule.html#cfn-ec2-security-group-rule-sourcesecuritygroupid" xr:uid="{DCA582C0-0F78-4A8D-80D8-E9C2C0A0C9BA}"/>
    <hyperlink ref="T43" r:id="rId39" location="cfn-ec2-security-group-rule-sourcesecuritygroupname" tooltip="http://docs.aws.amazon.com/AWSCloudFormation/latest/UserGuide/aws-properties-ec2-security-group-rule.html#cfn-ec2-security-group-rule-sourcesecuritygroupname" xr:uid="{541304F9-766E-483D-834E-9D4E319079C1}"/>
    <hyperlink ref="T44" r:id="rId40" location="cfn-ec2-security-group-rule-sourcesecuritygroupownerid" tooltip="http://docs.aws.amazon.com/AWSCloudFormation/latest/UserGuide/aws-properties-ec2-security-group-rule.html#cfn-ec2-security-group-rule-sourcesecuritygroupownerid" xr:uid="{47C44D96-777B-4EE1-A666-1E36976A61FC}"/>
    <hyperlink ref="T45" r:id="rId41" location="cfn-ec2-security-group-rule-toport" tooltip="http://docs.aws.amazon.com/AWSCloudFormation/latest/UserGuide/aws-properties-ec2-security-group-rule.html#cfn-ec2-security-group-rule-toport" xr:uid="{462BBF0B-B317-44B5-9A58-9C2C964ECE08}"/>
    <hyperlink ref="T46" r:id="rId42" location="cfn-ec2-securitygroup-tags" tooltip="http://docs.aws.amazon.com/AWSCloudFormation/latest/UserGuide/aws-properties-ec2-security-group.html#cfn-ec2-securitygroup-tags" xr:uid="{A19528AD-431C-403F-9D0F-C94C733D3B90}"/>
    <hyperlink ref="T47" r:id="rId43" location="cfn-resource-tags-key" tooltip="http://docs.aws.amazon.com/AWSCloudFormation/latest/UserGuide/aws-properties-resource-tags.html#cfn-resource-tags-key" xr:uid="{356630EC-B44A-44F4-936A-242EA45CC893}"/>
    <hyperlink ref="T48" r:id="rId44" location="cfn-resource-tags-value" tooltip="http://docs.aws.amazon.com/AWSCloudFormation/latest/UserGuide/aws-properties-resource-tags.html#cfn-resource-tags-value" xr:uid="{5CCBC2F2-0F5D-479A-8A4A-70AFEFCDE09C}"/>
    <hyperlink ref="T49" r:id="rId45" location="cfn-resource-tags-key" tooltip="http://docs.aws.amazon.com/AWSCloudFormation/latest/UserGuide/aws-properties-resource-tags.html#cfn-resource-tags-key" xr:uid="{CFD6287D-33E8-4D63-A42A-BE280AE4D794}"/>
    <hyperlink ref="T50" r:id="rId46" location="cfn-resource-tags-value" tooltip="http://docs.aws.amazon.com/AWSCloudFormation/latest/UserGuide/aws-properties-resource-tags.html#cfn-resource-tags-value" xr:uid="{10A1C846-D6F5-494A-8673-E48ADB837DFA}"/>
    <hyperlink ref="T51" r:id="rId47" location="cfn-ec2-securitygroup-vpcid" tooltip="http://docs.aws.amazon.com/AWSCloudFormation/latest/UserGuide/aws-properties-ec2-security-group.html#cfn-ec2-securitygroup-vpcid" xr:uid="{28639EA1-5DF2-4E07-ACC0-545944B4B45F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C5EB9-A39B-4A13-B118-99CE759604EE}">
  <sheetPr codeName="Sheet138"/>
  <dimension ref="A1:W14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W1" sqref="W1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8" style="8" bestFit="1" customWidth="1"/>
    <col min="23" max="23" width="34.875" bestFit="1" customWidth="1"/>
  </cols>
  <sheetData>
    <row r="1" spans="1:23">
      <c r="A1" s="14" t="s">
        <v>141</v>
      </c>
      <c r="W1" t="s">
        <v>372</v>
      </c>
    </row>
    <row r="2" spans="1:23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>"Value" &amp; COLUMN() -  21</f>
        <v>Value2</v>
      </c>
    </row>
    <row r="3" spans="1:23">
      <c r="B3" s="34">
        <f t="shared" ref="B3:B14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/>
      <c r="W3" s="9" t="str">
        <f>Setting!$D$10&amp;"-"&amp;RIGHT($E$4,LEN($E$4)-FIND(";",SUBSTITUTE($E$4,":",";",LEN($E$4)-LEN(SUBSTITUTE($E$4,":","")))))&amp;"-SSM"&amp;RIGHT("0"&amp;(COLUMN()-21),2)</f>
        <v>mirai-SecurityGroupEgress-SSM02</v>
      </c>
    </row>
    <row r="4" spans="1:23">
      <c r="B4" s="34">
        <f t="shared" si="0"/>
        <v>2</v>
      </c>
      <c r="C4" s="18"/>
      <c r="D4" s="23"/>
      <c r="E4" s="37" t="s">
        <v>272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</row>
    <row r="5" spans="1:23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</row>
    <row r="6" spans="1:23">
      <c r="B6" s="34">
        <f t="shared" si="0"/>
        <v>4</v>
      </c>
      <c r="C6" s="18"/>
      <c r="D6" s="23"/>
      <c r="E6" s="19"/>
      <c r="F6" s="35" t="s">
        <v>185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/>
      <c r="W6" s="9"/>
    </row>
    <row r="7" spans="1:23">
      <c r="B7" s="34">
        <f t="shared" si="0"/>
        <v>5</v>
      </c>
      <c r="C7" s="18"/>
      <c r="D7" s="23"/>
      <c r="E7" s="19"/>
      <c r="F7" s="35" t="s">
        <v>186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  <c r="W7" s="9"/>
    </row>
    <row r="8" spans="1:23">
      <c r="B8" s="34">
        <f t="shared" si="0"/>
        <v>6</v>
      </c>
      <c r="C8" s="18"/>
      <c r="D8" s="23"/>
      <c r="E8" s="19"/>
      <c r="F8" s="35" t="s">
        <v>187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36" t="s">
        <v>147</v>
      </c>
      <c r="U8" s="9"/>
      <c r="V8" s="9"/>
      <c r="W8" s="9"/>
    </row>
    <row r="9" spans="1:23">
      <c r="B9" s="34">
        <f t="shared" si="0"/>
        <v>7</v>
      </c>
      <c r="C9" s="18"/>
      <c r="D9" s="23"/>
      <c r="E9" s="19"/>
      <c r="F9" s="35" t="s">
        <v>188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36" t="s">
        <v>147</v>
      </c>
      <c r="U9" s="9"/>
      <c r="V9" s="9"/>
      <c r="W9" s="9"/>
    </row>
    <row r="10" spans="1:23">
      <c r="B10" s="34">
        <f t="shared" si="0"/>
        <v>8</v>
      </c>
      <c r="C10" s="18"/>
      <c r="D10" s="23"/>
      <c r="E10" s="19"/>
      <c r="F10" s="35" t="s">
        <v>189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/>
      <c r="W10" s="9" t="str">
        <f>SecurityGroup!$W$3</f>
        <v>mirai-SecurityGroup-SSM-EndPoint</v>
      </c>
    </row>
    <row r="11" spans="1:23">
      <c r="B11" s="34">
        <f t="shared" si="0"/>
        <v>9</v>
      </c>
      <c r="C11" s="18"/>
      <c r="D11" s="23"/>
      <c r="E11" s="19"/>
      <c r="F11" s="35" t="s">
        <v>190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162</v>
      </c>
      <c r="T11" s="36" t="s">
        <v>147</v>
      </c>
      <c r="U11" s="9"/>
      <c r="V11" s="9"/>
      <c r="W11" s="9">
        <v>443</v>
      </c>
    </row>
    <row r="12" spans="1:23">
      <c r="B12" s="34">
        <f t="shared" si="0"/>
        <v>10</v>
      </c>
      <c r="C12" s="18"/>
      <c r="D12" s="23"/>
      <c r="E12" s="19"/>
      <c r="F12" s="35" t="s">
        <v>273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36" t="s">
        <v>147</v>
      </c>
      <c r="U12" s="9"/>
      <c r="V12" s="9"/>
      <c r="W12" s="9" t="str">
        <f>SecurityGroup!$X$3</f>
        <v>mirai-SecurityGroup-SSM-Target</v>
      </c>
    </row>
    <row r="13" spans="1:23">
      <c r="B13" s="34">
        <f t="shared" si="0"/>
        <v>11</v>
      </c>
      <c r="C13" s="18"/>
      <c r="D13" s="23"/>
      <c r="E13" s="19"/>
      <c r="F13" s="35" t="s">
        <v>191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4" t="s">
        <v>143</v>
      </c>
      <c r="T13" s="36" t="s">
        <v>147</v>
      </c>
      <c r="U13" s="9"/>
      <c r="V13" s="9"/>
      <c r="W13" s="9" t="s">
        <v>276</v>
      </c>
    </row>
    <row r="14" spans="1:23">
      <c r="B14" s="34">
        <f t="shared" si="0"/>
        <v>12</v>
      </c>
      <c r="C14" s="18"/>
      <c r="D14" s="23"/>
      <c r="E14" s="19"/>
      <c r="F14" s="35" t="s">
        <v>192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4" t="s">
        <v>162</v>
      </c>
      <c r="T14" s="36" t="s">
        <v>147</v>
      </c>
      <c r="U14" s="9"/>
      <c r="V14" s="9"/>
      <c r="W14" s="9">
        <v>443</v>
      </c>
    </row>
  </sheetData>
  <phoneticPr fontId="1"/>
  <hyperlinks>
    <hyperlink ref="T4" r:id="rId1" tooltip="http://docs.aws.amazon.com/AWSCloudFormation/latest/UserGuide/aws-resource-ec2-security-group-egress.html" xr:uid="{8CEF2B86-EE01-4F44-9288-17956738A19B}"/>
    <hyperlink ref="T6" r:id="rId2" location="cfn-ec2-securitygroupegress-cidrip" tooltip="http://docs.aws.amazon.com/AWSCloudFormation/latest/UserGuide/aws-resource-ec2-security-group-egress.html#cfn-ec2-securitygroupegress-cidrip" xr:uid="{E4DF8380-56D9-4BCC-9F5E-3A7C36F46D87}"/>
    <hyperlink ref="T7" r:id="rId3" location="cfn-ec2-securitygroupegress-cidripv6" tooltip="http://docs.aws.amazon.com/AWSCloudFormation/latest/UserGuide/aws-resource-ec2-security-group-egress.html#cfn-ec2-securitygroupegress-cidripv6" xr:uid="{2581EC8B-F059-4BCF-84A7-A7447D3AF54F}"/>
    <hyperlink ref="T8" r:id="rId4" location="cfn-ec2-securitygroupegress-description" tooltip="http://docs.aws.amazon.com/AWSCloudFormation/latest/UserGuide/aws-resource-ec2-security-group-egress.html#cfn-ec2-securitygroupegress-description" xr:uid="{ECAC1CC1-04BC-40B0-BE36-DB649D070655}"/>
    <hyperlink ref="T9" r:id="rId5" location="cfn-ec2-securitygroupegress-destinationprefixlistid" tooltip="http://docs.aws.amazon.com/AWSCloudFormation/latest/UserGuide/aws-resource-ec2-security-group-egress.html#cfn-ec2-securitygroupegress-destinationprefixlistid" xr:uid="{A0373326-DAD9-402D-A717-1A47715B89A2}"/>
    <hyperlink ref="T10" r:id="rId6" location="cfn-ec2-securitygroupegress-destinationsecuritygroupid" tooltip="http://docs.aws.amazon.com/AWSCloudFormation/latest/UserGuide/aws-resource-ec2-security-group-egress.html#cfn-ec2-securitygroupegress-destinationsecuritygroupid" xr:uid="{A37C7C28-A125-440A-94AA-915758045FCD}"/>
    <hyperlink ref="T11" r:id="rId7" location="cfn-ec2-securitygroupegress-fromport" tooltip="http://docs.aws.amazon.com/AWSCloudFormation/latest/UserGuide/aws-resource-ec2-security-group-egress.html#cfn-ec2-securitygroupegress-fromport" xr:uid="{D12FD857-BB82-4002-8332-B36CFB2B8E52}"/>
    <hyperlink ref="T12" r:id="rId8" location="cfn-ec2-securitygroupegress-groupid" tooltip="http://docs.aws.amazon.com/AWSCloudFormation/latest/UserGuide/aws-resource-ec2-security-group-egress.html#cfn-ec2-securitygroupegress-groupid" xr:uid="{26D50461-DC97-4203-896E-91AC73DAD6DF}"/>
    <hyperlink ref="T13" r:id="rId9" location="cfn-ec2-securitygroupegress-ipprotocol" tooltip="http://docs.aws.amazon.com/AWSCloudFormation/latest/UserGuide/aws-resource-ec2-security-group-egress.html#cfn-ec2-securitygroupegress-ipprotocol" xr:uid="{6618749A-61B2-4529-8EEE-E2317F39DFAD}"/>
    <hyperlink ref="T14" r:id="rId10" location="cfn-ec2-securitygroupegress-toport" tooltip="http://docs.aws.amazon.com/AWSCloudFormation/latest/UserGuide/aws-resource-ec2-security-group-egress.html#cfn-ec2-securitygroupegress-toport" xr:uid="{A0AE9852-ED95-4C88-8FBC-8B25A64646FA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9CDDF-5AB8-4E6F-8B9A-62BBBB288512}">
  <sheetPr codeName="Sheet139"/>
  <dimension ref="A1:AA17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2" sqref="V2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8" style="8" bestFit="1" customWidth="1"/>
    <col min="23" max="23" width="34.25" bestFit="1" customWidth="1"/>
  </cols>
  <sheetData>
    <row r="1" spans="1:27">
      <c r="A1" s="14" t="s">
        <v>141</v>
      </c>
      <c r="W1" s="8" t="s">
        <v>372</v>
      </c>
    </row>
    <row r="2" spans="1:27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>"Value" &amp; COLUMN() -  21</f>
        <v>Value2</v>
      </c>
    </row>
    <row r="3" spans="1:27">
      <c r="B3" s="34">
        <f t="shared" ref="B3:B17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/>
      <c r="W3" s="9" t="str">
        <f>Setting!$D$10&amp;"-"&amp;RIGHT($E$4,LEN($E$4)-FIND(";",SUBSTITUTE($E$4,":",";",LEN($E$4)-LEN(SUBSTITUTE($E$4,":","")))))&amp;"-SSM"&amp;RIGHT("0"&amp;(COLUMN()-21),2)</f>
        <v>mirai-SecurityGroupIngress-SSM02</v>
      </c>
    </row>
    <row r="4" spans="1:27">
      <c r="B4" s="34">
        <f t="shared" si="0"/>
        <v>2</v>
      </c>
      <c r="C4" s="18"/>
      <c r="D4" s="23"/>
      <c r="E4" s="37" t="s">
        <v>274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</row>
    <row r="5" spans="1:27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</row>
    <row r="6" spans="1:27">
      <c r="B6" s="34">
        <f t="shared" si="0"/>
        <v>4</v>
      </c>
      <c r="C6" s="18"/>
      <c r="D6" s="23"/>
      <c r="E6" s="19"/>
      <c r="F6" s="35" t="s">
        <v>185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/>
      <c r="W6" s="9"/>
    </row>
    <row r="7" spans="1:27">
      <c r="B7" s="34">
        <f t="shared" si="0"/>
        <v>5</v>
      </c>
      <c r="C7" s="18"/>
      <c r="D7" s="23"/>
      <c r="E7" s="19"/>
      <c r="F7" s="35" t="s">
        <v>186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  <c r="W7" s="9"/>
    </row>
    <row r="8" spans="1:27">
      <c r="B8" s="34">
        <f t="shared" si="0"/>
        <v>6</v>
      </c>
      <c r="C8" s="18"/>
      <c r="D8" s="23"/>
      <c r="E8" s="19"/>
      <c r="F8" s="35" t="s">
        <v>187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36" t="s">
        <v>147</v>
      </c>
      <c r="U8" s="9"/>
      <c r="V8" s="9"/>
      <c r="W8" s="9"/>
    </row>
    <row r="9" spans="1:27">
      <c r="B9" s="34">
        <f t="shared" si="0"/>
        <v>7</v>
      </c>
      <c r="C9" s="18"/>
      <c r="D9" s="23"/>
      <c r="E9" s="19"/>
      <c r="F9" s="35" t="s">
        <v>190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162</v>
      </c>
      <c r="T9" s="36" t="s">
        <v>147</v>
      </c>
      <c r="U9" s="9"/>
      <c r="V9" s="9"/>
      <c r="W9" s="9">
        <v>443</v>
      </c>
    </row>
    <row r="10" spans="1:27">
      <c r="B10" s="34">
        <f t="shared" si="0"/>
        <v>8</v>
      </c>
      <c r="C10" s="18"/>
      <c r="D10" s="23"/>
      <c r="E10" s="19"/>
      <c r="F10" s="35" t="s">
        <v>273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/>
      <c r="W10" s="9" t="str">
        <f>SecurityGroup!$W$3</f>
        <v>mirai-SecurityGroup-SSM-EndPoint</v>
      </c>
    </row>
    <row r="11" spans="1:27">
      <c r="B11" s="34">
        <f t="shared" si="0"/>
        <v>9</v>
      </c>
      <c r="C11" s="18"/>
      <c r="D11" s="23"/>
      <c r="E11" s="19"/>
      <c r="F11" s="35" t="s">
        <v>183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/>
      <c r="W11" s="9"/>
    </row>
    <row r="12" spans="1:27">
      <c r="B12" s="34">
        <f t="shared" si="0"/>
        <v>10</v>
      </c>
      <c r="C12" s="18"/>
      <c r="D12" s="23"/>
      <c r="E12" s="19"/>
      <c r="F12" s="35" t="s">
        <v>191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36" t="s">
        <v>147</v>
      </c>
      <c r="U12" s="9"/>
      <c r="V12" s="9"/>
      <c r="W12" s="9" t="s">
        <v>276</v>
      </c>
    </row>
    <row r="13" spans="1:27">
      <c r="B13" s="34">
        <f t="shared" si="0"/>
        <v>11</v>
      </c>
      <c r="C13" s="18"/>
      <c r="D13" s="23"/>
      <c r="E13" s="19"/>
      <c r="F13" s="35" t="s">
        <v>194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4" t="s">
        <v>143</v>
      </c>
      <c r="T13" s="36" t="s">
        <v>147</v>
      </c>
      <c r="U13" s="9"/>
      <c r="V13" s="9"/>
      <c r="W13" s="9"/>
      <c r="AA13" s="8"/>
    </row>
    <row r="14" spans="1:27">
      <c r="B14" s="34">
        <f t="shared" si="0"/>
        <v>12</v>
      </c>
      <c r="C14" s="18"/>
      <c r="D14" s="23"/>
      <c r="E14" s="19"/>
      <c r="F14" s="35" t="s">
        <v>195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4" t="s">
        <v>143</v>
      </c>
      <c r="T14" s="36" t="s">
        <v>147</v>
      </c>
      <c r="U14" s="9"/>
      <c r="V14" s="9"/>
      <c r="W14" s="9" t="str">
        <f>SecurityGroup!$X$3</f>
        <v>mirai-SecurityGroup-SSM-Target</v>
      </c>
    </row>
    <row r="15" spans="1:27">
      <c r="B15" s="34">
        <f t="shared" si="0"/>
        <v>13</v>
      </c>
      <c r="C15" s="18"/>
      <c r="D15" s="23"/>
      <c r="E15" s="19"/>
      <c r="F15" s="35" t="s">
        <v>196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4" t="s">
        <v>143</v>
      </c>
      <c r="T15" s="36" t="s">
        <v>147</v>
      </c>
      <c r="U15" s="9"/>
      <c r="V15" s="9"/>
      <c r="W15" s="9"/>
    </row>
    <row r="16" spans="1:27">
      <c r="B16" s="34">
        <f t="shared" si="0"/>
        <v>14</v>
      </c>
      <c r="C16" s="18"/>
      <c r="D16" s="23"/>
      <c r="E16" s="19"/>
      <c r="F16" s="35" t="s">
        <v>197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4" t="s">
        <v>143</v>
      </c>
      <c r="T16" s="36" t="s">
        <v>147</v>
      </c>
      <c r="U16" s="9"/>
      <c r="V16" s="9"/>
      <c r="W16" s="9"/>
    </row>
    <row r="17" spans="2:23">
      <c r="B17" s="34">
        <f t="shared" si="0"/>
        <v>15</v>
      </c>
      <c r="C17" s="18"/>
      <c r="D17" s="23"/>
      <c r="E17" s="19"/>
      <c r="F17" s="35" t="s">
        <v>192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34" t="s">
        <v>162</v>
      </c>
      <c r="T17" s="36" t="s">
        <v>147</v>
      </c>
      <c r="U17" s="9"/>
      <c r="V17" s="9"/>
      <c r="W17" s="9">
        <v>443</v>
      </c>
    </row>
  </sheetData>
  <phoneticPr fontId="1"/>
  <hyperlinks>
    <hyperlink ref="T4" r:id="rId1" tooltip="http://docs.aws.amazon.com/AWSCloudFormation/latest/UserGuide/aws-properties-ec2-security-group-ingress.html" xr:uid="{6E9285A2-2046-4D49-85FA-DC495CE52C0E}"/>
    <hyperlink ref="T6" r:id="rId2" location="cfn-ec2-security-group-ingress-cidrip" tooltip="http://docs.aws.amazon.com/AWSCloudFormation/latest/UserGuide/aws-properties-ec2-security-group-ingress.html#cfn-ec2-security-group-ingress-cidrip" xr:uid="{A4149FCD-4718-42AA-9BB4-3BA0AFD125FB}"/>
    <hyperlink ref="T7" r:id="rId3" location="cfn-ec2-security-group-ingress-cidripv6" tooltip="http://docs.aws.amazon.com/AWSCloudFormation/latest/UserGuide/aws-properties-ec2-security-group-ingress.html#cfn-ec2-security-group-ingress-cidripv6" xr:uid="{A00FA6CD-6B94-44EB-879F-EED2878349A4}"/>
    <hyperlink ref="T8" r:id="rId4" location="cfn-ec2-security-group-ingress-description" tooltip="http://docs.aws.amazon.com/AWSCloudFormation/latest/UserGuide/aws-properties-ec2-security-group-ingress.html#cfn-ec2-security-group-ingress-description" xr:uid="{577C82CC-27AE-47B8-933A-B99293A4FDEB}"/>
    <hyperlink ref="T9" r:id="rId5" location="cfn-ec2-security-group-ingress-fromport" tooltip="http://docs.aws.amazon.com/AWSCloudFormation/latest/UserGuide/aws-properties-ec2-security-group-ingress.html#cfn-ec2-security-group-ingress-fromport" xr:uid="{E843511E-A172-4A84-8533-80BA1A9C8F3C}"/>
    <hyperlink ref="T10" r:id="rId6" location="cfn-ec2-security-group-ingress-groupid" tooltip="http://docs.aws.amazon.com/AWSCloudFormation/latest/UserGuide/aws-properties-ec2-security-group-ingress.html#cfn-ec2-security-group-ingress-groupid" xr:uid="{39607B21-359E-4C8C-9F65-4F585A518954}"/>
    <hyperlink ref="T11" r:id="rId7" location="cfn-ec2-security-group-ingress-groupname" tooltip="http://docs.aws.amazon.com/AWSCloudFormation/latest/UserGuide/aws-properties-ec2-security-group-ingress.html#cfn-ec2-security-group-ingress-groupname" xr:uid="{A62EA884-C2AF-454C-AE07-6D78B52FF3EB}"/>
    <hyperlink ref="T12" r:id="rId8" location="cfn-ec2-security-group-ingress-ipprotocol" tooltip="http://docs.aws.amazon.com/AWSCloudFormation/latest/UserGuide/aws-properties-ec2-security-group-ingress.html#cfn-ec2-security-group-ingress-ipprotocol" xr:uid="{373D7327-787B-43FD-A8A6-944D1B83EFCF}"/>
    <hyperlink ref="T13" r:id="rId9" location="cfn-ec2-securitygroupingress-sourceprefixlistid" tooltip="http://docs.aws.amazon.com/AWSCloudFormation/latest/UserGuide/aws-properties-ec2-security-group-ingress.html#cfn-ec2-securitygroupingress-sourceprefixlistid" xr:uid="{E1EAAEDF-A899-4055-8299-0E42589046A7}"/>
    <hyperlink ref="T14" r:id="rId10" location="cfn-ec2-security-group-ingress-sourcesecuritygroupid" tooltip="http://docs.aws.amazon.com/AWSCloudFormation/latest/UserGuide/aws-properties-ec2-security-group-ingress.html#cfn-ec2-security-group-ingress-sourcesecuritygroupid" xr:uid="{BD9F19AD-672F-4A32-B123-6A1D476D128C}"/>
    <hyperlink ref="T15" r:id="rId11" location="cfn-ec2-security-group-ingress-sourcesecuritygroupname" tooltip="http://docs.aws.amazon.com/AWSCloudFormation/latest/UserGuide/aws-properties-ec2-security-group-ingress.html#cfn-ec2-security-group-ingress-sourcesecuritygroupname" xr:uid="{5F6F1549-63E5-45B8-B445-26677F172737}"/>
    <hyperlink ref="T16" r:id="rId12" location="cfn-ec2-security-group-ingress-sourcesecuritygroupownerid" tooltip="http://docs.aws.amazon.com/AWSCloudFormation/latest/UserGuide/aws-properties-ec2-security-group-ingress.html#cfn-ec2-security-group-ingress-sourcesecuritygroupownerid" xr:uid="{9C5A5E23-EE25-4DEA-BD92-CD7623380B44}"/>
    <hyperlink ref="T17" r:id="rId13" location="cfn-ec2-security-group-ingress-toport" tooltip="http://docs.aws.amazon.com/AWSCloudFormation/latest/UserGuide/aws-properties-ec2-security-group-ingress.html#cfn-ec2-security-group-ingress-toport" xr:uid="{A14982D6-E2D0-475F-B302-193342D2A0BF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1053-D4BD-4738-A249-DF79E9A22FBE}">
  <sheetPr codeName="Sheet140"/>
  <dimension ref="A1:V24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57.5" bestFit="1" customWidth="1"/>
  </cols>
  <sheetData>
    <row r="1" spans="1:22">
      <c r="A1" s="14" t="s">
        <v>141</v>
      </c>
    </row>
    <row r="2" spans="1:22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</row>
    <row r="3" spans="1:22">
      <c r="B3" s="34">
        <f t="shared" ref="B3:B24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Setting!$D$10&amp;"-"&amp;RIGHT($E$4,LEN($E$4)-FIND(";",SUBSTITUTE($E$4,":",";",LEN($E$4)-LEN(SUBSTITUTE($E$4,":","")))))&amp;"-SSM-InstanceCore"</f>
        <v>mirai-Role-SSM-InstanceCore</v>
      </c>
    </row>
    <row r="4" spans="1:22">
      <c r="B4" s="34">
        <f t="shared" si="0"/>
        <v>2</v>
      </c>
      <c r="C4" s="18"/>
      <c r="D4" s="23"/>
      <c r="E4" s="37" t="s">
        <v>318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</row>
    <row r="5" spans="1:22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</row>
    <row r="6" spans="1:22" ht="168.75">
      <c r="B6" s="34">
        <f t="shared" si="0"/>
        <v>4</v>
      </c>
      <c r="C6" s="18"/>
      <c r="D6" s="23"/>
      <c r="E6" s="19"/>
      <c r="F6" s="35" t="s">
        <v>319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312</v>
      </c>
      <c r="T6" s="36" t="s">
        <v>147</v>
      </c>
      <c r="U6" s="9"/>
      <c r="V6" s="51" t="s">
        <v>367</v>
      </c>
    </row>
    <row r="7" spans="1:22">
      <c r="B7" s="34">
        <f t="shared" si="0"/>
        <v>5</v>
      </c>
      <c r="C7" s="18"/>
      <c r="D7" s="23"/>
      <c r="E7" s="19"/>
      <c r="F7" s="35" t="s">
        <v>187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</row>
    <row r="8" spans="1:22">
      <c r="B8" s="34">
        <f t="shared" si="0"/>
        <v>6</v>
      </c>
      <c r="C8" s="18"/>
      <c r="D8" s="23"/>
      <c r="E8" s="19"/>
      <c r="F8" s="40" t="s">
        <v>320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5"/>
      <c r="S8" s="41" t="s">
        <v>146</v>
      </c>
      <c r="T8" s="42" t="s">
        <v>147</v>
      </c>
      <c r="U8" s="26"/>
      <c r="V8" s="26"/>
    </row>
    <row r="9" spans="1:22">
      <c r="B9" s="34">
        <f t="shared" si="0"/>
        <v>7</v>
      </c>
      <c r="C9" s="18"/>
      <c r="D9" s="23"/>
      <c r="E9" s="19"/>
      <c r="F9" s="24"/>
      <c r="G9" s="50" t="s">
        <v>153</v>
      </c>
      <c r="H9" s="43" t="s">
        <v>146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9"/>
      <c r="U9" s="9"/>
      <c r="V9" s="9" t="s">
        <v>368</v>
      </c>
    </row>
    <row r="10" spans="1:22">
      <c r="B10" s="34">
        <f t="shared" si="0"/>
        <v>8</v>
      </c>
      <c r="C10" s="18"/>
      <c r="D10" s="23"/>
      <c r="E10" s="19"/>
      <c r="F10" s="24"/>
      <c r="G10" s="50" t="s">
        <v>153</v>
      </c>
      <c r="H10" s="43" t="s">
        <v>146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9"/>
      <c r="U10" s="9"/>
      <c r="V10" s="9"/>
    </row>
    <row r="11" spans="1:22">
      <c r="B11" s="34">
        <f t="shared" si="0"/>
        <v>9</v>
      </c>
      <c r="C11" s="18"/>
      <c r="D11" s="23"/>
      <c r="E11" s="19"/>
      <c r="F11" s="35" t="s">
        <v>321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162</v>
      </c>
      <c r="T11" s="36" t="s">
        <v>147</v>
      </c>
      <c r="U11" s="9"/>
      <c r="V11" s="9"/>
    </row>
    <row r="12" spans="1:22">
      <c r="B12" s="34">
        <f t="shared" si="0"/>
        <v>10</v>
      </c>
      <c r="C12" s="18"/>
      <c r="D12" s="23"/>
      <c r="E12" s="19"/>
      <c r="F12" s="35" t="s">
        <v>322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36" t="s">
        <v>147</v>
      </c>
      <c r="U12" s="9"/>
      <c r="V12" s="9" t="s">
        <v>369</v>
      </c>
    </row>
    <row r="13" spans="1:22">
      <c r="B13" s="34">
        <f t="shared" si="0"/>
        <v>11</v>
      </c>
      <c r="C13" s="18"/>
      <c r="D13" s="23"/>
      <c r="E13" s="19"/>
      <c r="F13" s="35" t="s">
        <v>323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4" t="s">
        <v>143</v>
      </c>
      <c r="T13" s="36" t="s">
        <v>147</v>
      </c>
      <c r="U13" s="9"/>
      <c r="V13" s="9"/>
    </row>
    <row r="14" spans="1:22">
      <c r="B14" s="34">
        <f t="shared" si="0"/>
        <v>12</v>
      </c>
      <c r="C14" s="18"/>
      <c r="D14" s="23"/>
      <c r="E14" s="19"/>
      <c r="F14" s="40" t="s">
        <v>324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5"/>
      <c r="S14" s="41" t="s">
        <v>146</v>
      </c>
      <c r="T14" s="42" t="s">
        <v>147</v>
      </c>
      <c r="U14" s="26"/>
      <c r="V14" s="26"/>
    </row>
    <row r="15" spans="1:22">
      <c r="B15" s="34">
        <f t="shared" si="0"/>
        <v>13</v>
      </c>
      <c r="C15" s="18"/>
      <c r="D15" s="23"/>
      <c r="E15" s="19"/>
      <c r="F15" s="24"/>
      <c r="G15" s="50" t="s">
        <v>153</v>
      </c>
      <c r="H15" s="35" t="s">
        <v>311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4" t="s">
        <v>312</v>
      </c>
      <c r="T15" s="36" t="s">
        <v>147</v>
      </c>
      <c r="U15" s="9"/>
      <c r="V15" s="9"/>
    </row>
    <row r="16" spans="1:22">
      <c r="B16" s="34">
        <f t="shared" si="0"/>
        <v>14</v>
      </c>
      <c r="C16" s="18"/>
      <c r="D16" s="23"/>
      <c r="E16" s="19"/>
      <c r="F16" s="24"/>
      <c r="G16" s="15"/>
      <c r="H16" s="35" t="s">
        <v>325</v>
      </c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4" t="s">
        <v>143</v>
      </c>
      <c r="T16" s="36" t="s">
        <v>147</v>
      </c>
      <c r="U16" s="9"/>
      <c r="V16" s="9"/>
    </row>
    <row r="17" spans="2:22">
      <c r="B17" s="34">
        <f t="shared" si="0"/>
        <v>15</v>
      </c>
      <c r="C17" s="18"/>
      <c r="D17" s="23"/>
      <c r="E17" s="19"/>
      <c r="F17" s="24"/>
      <c r="G17" s="50" t="s">
        <v>153</v>
      </c>
      <c r="H17" s="35" t="s">
        <v>311</v>
      </c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34" t="s">
        <v>312</v>
      </c>
      <c r="T17" s="36" t="s">
        <v>147</v>
      </c>
      <c r="U17" s="9"/>
      <c r="V17" s="9"/>
    </row>
    <row r="18" spans="2:22">
      <c r="B18" s="34">
        <f t="shared" si="0"/>
        <v>16</v>
      </c>
      <c r="C18" s="18"/>
      <c r="D18" s="23"/>
      <c r="E18" s="19"/>
      <c r="F18" s="24"/>
      <c r="G18" s="15"/>
      <c r="H18" s="35" t="s">
        <v>325</v>
      </c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34" t="s">
        <v>143</v>
      </c>
      <c r="T18" s="36" t="s">
        <v>147</v>
      </c>
      <c r="U18" s="9"/>
      <c r="V18" s="9"/>
    </row>
    <row r="19" spans="2:22">
      <c r="B19" s="34">
        <f t="shared" si="0"/>
        <v>17</v>
      </c>
      <c r="C19" s="18"/>
      <c r="D19" s="23"/>
      <c r="E19" s="19"/>
      <c r="F19" s="35" t="s">
        <v>326</v>
      </c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6"/>
      <c r="S19" s="34" t="s">
        <v>143</v>
      </c>
      <c r="T19" s="36" t="s">
        <v>147</v>
      </c>
      <c r="U19" s="9"/>
      <c r="V19" s="9" t="str">
        <f>$V$3</f>
        <v>mirai-Role-SSM-InstanceCore</v>
      </c>
    </row>
    <row r="20" spans="2:22">
      <c r="B20" s="34">
        <f t="shared" si="0"/>
        <v>18</v>
      </c>
      <c r="C20" s="18"/>
      <c r="D20" s="23"/>
      <c r="E20" s="19"/>
      <c r="F20" s="40" t="s">
        <v>2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5"/>
      <c r="S20" s="41" t="s">
        <v>146</v>
      </c>
      <c r="T20" s="42" t="s">
        <v>147</v>
      </c>
      <c r="U20" s="26"/>
      <c r="V20" s="26"/>
    </row>
    <row r="21" spans="2:22">
      <c r="B21" s="34">
        <f t="shared" si="0"/>
        <v>19</v>
      </c>
      <c r="C21" s="18"/>
      <c r="D21" s="23"/>
      <c r="E21" s="19"/>
      <c r="F21" s="24"/>
      <c r="G21" s="50" t="s">
        <v>153</v>
      </c>
      <c r="H21" s="35" t="s">
        <v>154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34" t="s">
        <v>143</v>
      </c>
      <c r="T21" s="36" t="s">
        <v>147</v>
      </c>
      <c r="U21" s="9"/>
      <c r="V21" s="9"/>
    </row>
    <row r="22" spans="2:22">
      <c r="B22" s="34">
        <f t="shared" si="0"/>
        <v>20</v>
      </c>
      <c r="C22" s="18"/>
      <c r="D22" s="23"/>
      <c r="E22" s="19"/>
      <c r="F22" s="24"/>
      <c r="G22" s="15"/>
      <c r="H22" s="35" t="s">
        <v>70</v>
      </c>
      <c r="I22" s="15"/>
      <c r="J22" s="15"/>
      <c r="K22" s="15"/>
      <c r="L22" s="15"/>
      <c r="M22" s="15"/>
      <c r="N22" s="15"/>
      <c r="O22" s="15"/>
      <c r="P22" s="15"/>
      <c r="Q22" s="15"/>
      <c r="R22" s="16"/>
      <c r="S22" s="34" t="s">
        <v>143</v>
      </c>
      <c r="T22" s="36" t="s">
        <v>147</v>
      </c>
      <c r="U22" s="9"/>
      <c r="V22" s="9"/>
    </row>
    <row r="23" spans="2:22">
      <c r="B23" s="34">
        <f t="shared" si="0"/>
        <v>21</v>
      </c>
      <c r="C23" s="18"/>
      <c r="D23" s="23"/>
      <c r="E23" s="19"/>
      <c r="F23" s="24"/>
      <c r="G23" s="50" t="s">
        <v>153</v>
      </c>
      <c r="H23" s="35" t="s">
        <v>154</v>
      </c>
      <c r="I23" s="15"/>
      <c r="J23" s="15"/>
      <c r="K23" s="15"/>
      <c r="L23" s="15"/>
      <c r="M23" s="15"/>
      <c r="N23" s="15"/>
      <c r="O23" s="15"/>
      <c r="P23" s="15"/>
      <c r="Q23" s="15"/>
      <c r="R23" s="16"/>
      <c r="S23" s="34" t="s">
        <v>143</v>
      </c>
      <c r="T23" s="36" t="s">
        <v>147</v>
      </c>
      <c r="U23" s="9"/>
      <c r="V23" s="9"/>
    </row>
    <row r="24" spans="2:22">
      <c r="B24" s="34">
        <f t="shared" si="0"/>
        <v>22</v>
      </c>
      <c r="C24" s="18"/>
      <c r="D24" s="23"/>
      <c r="E24" s="19"/>
      <c r="F24" s="24"/>
      <c r="G24" s="15"/>
      <c r="H24" s="35" t="s">
        <v>70</v>
      </c>
      <c r="I24" s="15"/>
      <c r="J24" s="15"/>
      <c r="K24" s="15"/>
      <c r="L24" s="15"/>
      <c r="M24" s="15"/>
      <c r="N24" s="15"/>
      <c r="O24" s="15"/>
      <c r="P24" s="15"/>
      <c r="Q24" s="15"/>
      <c r="R24" s="16"/>
      <c r="S24" s="34" t="s">
        <v>143</v>
      </c>
      <c r="T24" s="36" t="s">
        <v>147</v>
      </c>
      <c r="U24" s="9"/>
      <c r="V24" s="9"/>
    </row>
  </sheetData>
  <phoneticPr fontId="1"/>
  <hyperlinks>
    <hyperlink ref="T4" r:id="rId1" tooltip="http://docs.aws.amazon.com/AWSCloudFormation/latest/UserGuide/aws-resource-iam-role.html" xr:uid="{46ACD5E3-9FE8-4DFA-82E4-8CA1CAEEF47A}"/>
    <hyperlink ref="T6" r:id="rId2" location="cfn-iam-role-assumerolepolicydocument" tooltip="http://docs.aws.amazon.com/AWSCloudFormation/latest/UserGuide/aws-resource-iam-role.html#cfn-iam-role-assumerolepolicydocument" xr:uid="{1EA88DA8-F9AB-459F-9F85-7C475BE8FE00}"/>
    <hyperlink ref="T7" r:id="rId3" location="cfn-iam-role-description" tooltip="http://docs.aws.amazon.com/AWSCloudFormation/latest/UserGuide/aws-resource-iam-role.html#cfn-iam-role-description" xr:uid="{96E93FEE-543D-4EB7-A347-6E156F7504E4}"/>
    <hyperlink ref="T8" r:id="rId4" location="cfn-iam-role-managepolicyarns" tooltip="http://docs.aws.amazon.com/AWSCloudFormation/latest/UserGuide/aws-resource-iam-role.html#cfn-iam-role-managepolicyarns" xr:uid="{2F7F3BFE-7F6E-41DF-A5B5-6306DB27A9FB}"/>
    <hyperlink ref="T11" r:id="rId5" location="cfn-iam-role-maxsessionduration" tooltip="http://docs.aws.amazon.com/AWSCloudFormation/latest/UserGuide/aws-resource-iam-role.html#cfn-iam-role-maxsessionduration" xr:uid="{352BD477-3886-41F4-884D-1406310F885A}"/>
    <hyperlink ref="T12" r:id="rId6" location="cfn-iam-role-path" tooltip="http://docs.aws.amazon.com/AWSCloudFormation/latest/UserGuide/aws-resource-iam-role.html#cfn-iam-role-path" xr:uid="{7D63C08C-D139-4373-8CE8-E02240D7AB41}"/>
    <hyperlink ref="T13" r:id="rId7" location="cfn-iam-role-permissionsboundary" tooltip="http://docs.aws.amazon.com/AWSCloudFormation/latest/UserGuide/aws-resource-iam-role.html#cfn-iam-role-permissionsboundary" xr:uid="{D9078B0F-6EA4-4D1B-A6FB-4FE2ACEDF158}"/>
    <hyperlink ref="T14" r:id="rId8" location="cfn-iam-role-policies" tooltip="http://docs.aws.amazon.com/AWSCloudFormation/latest/UserGuide/aws-resource-iam-role.html#cfn-iam-role-policies" xr:uid="{C3266F7F-815A-4366-9069-0224BDFC2C75}"/>
    <hyperlink ref="T15" r:id="rId9" location="cfn-iam-policies-policydocument" tooltip="http://docs.aws.amazon.com/AWSCloudFormation/latest/UserGuide/aws-properties-iam-policy.html#cfn-iam-policies-policydocument" xr:uid="{D2F79866-DA5C-406D-A2FD-A286BF3962D0}"/>
    <hyperlink ref="T16" r:id="rId10" location="cfn-iam-policies-policyname" tooltip="http://docs.aws.amazon.com/AWSCloudFormation/latest/UserGuide/aws-properties-iam-policy.html#cfn-iam-policies-policyname" xr:uid="{57B08F1B-3982-475E-B1BD-69AB968E5C86}"/>
    <hyperlink ref="T17" r:id="rId11" location="cfn-iam-policies-policydocument" tooltip="http://docs.aws.amazon.com/AWSCloudFormation/latest/UserGuide/aws-properties-iam-policy.html#cfn-iam-policies-policydocument" xr:uid="{3FA20093-1B1B-49AA-9405-05C92EC4EB6C}"/>
    <hyperlink ref="T18" r:id="rId12" location="cfn-iam-policies-policyname" tooltip="http://docs.aws.amazon.com/AWSCloudFormation/latest/UserGuide/aws-properties-iam-policy.html#cfn-iam-policies-policyname" xr:uid="{B5879D06-1DAE-4970-B1C4-86AD8D0E9FC0}"/>
    <hyperlink ref="T19" r:id="rId13" location="cfn-iam-role-rolename" tooltip="http://docs.aws.amazon.com/AWSCloudFormation/latest/UserGuide/aws-resource-iam-role.html#cfn-iam-role-rolename" xr:uid="{8F9538BF-488D-48E3-9658-0AC801BF7B52}"/>
    <hyperlink ref="T20" r:id="rId14" location="cfn-iam-role-tags" tooltip="http://docs.aws.amazon.com/AWSCloudFormation/latest/UserGuide/aws-resource-iam-role.html#cfn-iam-role-tags" xr:uid="{F36FCBAD-DB8D-403F-B6D6-B7D0C398A650}"/>
    <hyperlink ref="T21" r:id="rId15" location="cfn-resource-tags-key" tooltip="http://docs.aws.amazon.com/AWSCloudFormation/latest/UserGuide/aws-properties-resource-tags.html#cfn-resource-tags-key" xr:uid="{A2599C8A-F435-4524-9B74-851FC3DD96AF}"/>
    <hyperlink ref="T22" r:id="rId16" location="cfn-resource-tags-value" tooltip="http://docs.aws.amazon.com/AWSCloudFormation/latest/UserGuide/aws-properties-resource-tags.html#cfn-resource-tags-value" xr:uid="{2997255F-C863-4C88-B15F-C94BCB03BD22}"/>
    <hyperlink ref="T23" r:id="rId17" location="cfn-resource-tags-key" tooltip="http://docs.aws.amazon.com/AWSCloudFormation/latest/UserGuide/aws-properties-resource-tags.html#cfn-resource-tags-key" xr:uid="{5235F7F3-CCAD-4F57-9666-FBCA872FD937}"/>
    <hyperlink ref="T24" r:id="rId18" location="cfn-resource-tags-value" tooltip="http://docs.aws.amazon.com/AWSCloudFormation/latest/UserGuide/aws-properties-resource-tags.html#cfn-resource-tags-value" xr:uid="{92199039-2F53-4FF7-B654-165E4155F148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4C59B-1CD5-495C-9AF9-E49CEEC43D6F}">
  <sheetPr codeName="Sheet141"/>
  <dimension ref="A1:V10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39.375" bestFit="1" customWidth="1"/>
  </cols>
  <sheetData>
    <row r="1" spans="1:22">
      <c r="A1" s="14" t="s">
        <v>141</v>
      </c>
    </row>
    <row r="2" spans="1:22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</row>
    <row r="3" spans="1:22">
      <c r="B3" s="34">
        <f t="shared" ref="B3:B10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Setting!$D$10&amp;"-"&amp;RIGHT($E$4,LEN($E$4)-FIND(";",SUBSTITUTE($E$4,":",";",LEN($E$4)-LEN(SUBSTITUTE($E$4,":","")))))&amp;"-SSM-InstanceCore"</f>
        <v>mirai-InstanceProfile-SSM-InstanceCore</v>
      </c>
    </row>
    <row r="4" spans="1:22">
      <c r="B4" s="34">
        <f t="shared" si="0"/>
        <v>2</v>
      </c>
      <c r="C4" s="18"/>
      <c r="D4" s="23"/>
      <c r="E4" s="37" t="s">
        <v>327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</row>
    <row r="5" spans="1:22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</row>
    <row r="6" spans="1:22">
      <c r="B6" s="34">
        <f t="shared" si="0"/>
        <v>4</v>
      </c>
      <c r="C6" s="18"/>
      <c r="D6" s="23"/>
      <c r="E6" s="19"/>
      <c r="F6" s="35" t="s">
        <v>328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 t="str">
        <f>$V$3</f>
        <v>mirai-InstanceProfile-SSM-InstanceCore</v>
      </c>
    </row>
    <row r="7" spans="1:22">
      <c r="B7" s="34">
        <f t="shared" si="0"/>
        <v>5</v>
      </c>
      <c r="C7" s="18"/>
      <c r="D7" s="23"/>
      <c r="E7" s="19"/>
      <c r="F7" s="35" t="s">
        <v>322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</row>
    <row r="8" spans="1:22">
      <c r="B8" s="34">
        <f t="shared" si="0"/>
        <v>6</v>
      </c>
      <c r="C8" s="18"/>
      <c r="D8" s="23"/>
      <c r="E8" s="19"/>
      <c r="F8" s="40" t="s">
        <v>329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5"/>
      <c r="S8" s="41" t="s">
        <v>146</v>
      </c>
      <c r="T8" s="42" t="s">
        <v>147</v>
      </c>
      <c r="U8" s="26"/>
      <c r="V8" s="26"/>
    </row>
    <row r="9" spans="1:22">
      <c r="B9" s="34">
        <f t="shared" si="0"/>
        <v>7</v>
      </c>
      <c r="C9" s="18"/>
      <c r="D9" s="23"/>
      <c r="E9" s="19"/>
      <c r="F9" s="24"/>
      <c r="G9" s="50" t="s">
        <v>153</v>
      </c>
      <c r="H9" s="43" t="s">
        <v>146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9"/>
      <c r="U9" s="9"/>
      <c r="V9" s="9" t="str">
        <f>Role!$V$3</f>
        <v>mirai-Role-SSM-InstanceCore</v>
      </c>
    </row>
    <row r="10" spans="1:22">
      <c r="B10" s="34">
        <f t="shared" si="0"/>
        <v>8</v>
      </c>
      <c r="C10" s="18"/>
      <c r="D10" s="23"/>
      <c r="E10" s="19"/>
      <c r="F10" s="24"/>
      <c r="G10" s="50" t="s">
        <v>153</v>
      </c>
      <c r="H10" s="43" t="s">
        <v>146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9"/>
      <c r="U10" s="9"/>
      <c r="V10" s="9"/>
    </row>
  </sheetData>
  <phoneticPr fontId="1"/>
  <hyperlinks>
    <hyperlink ref="T4" r:id="rId1" tooltip="http://docs.aws.amazon.com/AWSCloudFormation/latest/UserGuide/aws-resource-iam-instanceprofile.html" xr:uid="{CAEBAA06-0B10-42A1-B8BC-9D43B1040E32}"/>
    <hyperlink ref="T6" r:id="rId2" location="cfn-iam-instanceprofile-instanceprofilename" tooltip="http://docs.aws.amazon.com/AWSCloudFormation/latest/UserGuide/aws-resource-iam-instanceprofile.html#cfn-iam-instanceprofile-instanceprofilename" xr:uid="{ECE375BA-025C-4946-8D8F-2A08D1762AFE}"/>
    <hyperlink ref="T7" r:id="rId3" location="cfn-iam-instanceprofile-path" tooltip="http://docs.aws.amazon.com/AWSCloudFormation/latest/UserGuide/aws-resource-iam-instanceprofile.html#cfn-iam-instanceprofile-path" xr:uid="{8C9E3EFC-6819-4DDB-ABC2-D14702AE1EE9}"/>
    <hyperlink ref="T8" r:id="rId4" location="cfn-iam-instanceprofile-roles" tooltip="http://docs.aws.amazon.com/AWSCloudFormation/latest/UserGuide/aws-resource-iam-instanceprofile.html#cfn-iam-instanceprofile-roles" xr:uid="{EBB8D758-80A6-4BF4-8002-E55C40BF6122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DC0B7-6E5C-483F-A195-DA40803311E2}">
  <sheetPr codeName="Sheet142"/>
  <dimension ref="A1:V18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12" sqref="V12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83.25" customWidth="1"/>
  </cols>
  <sheetData>
    <row r="1" spans="1:22">
      <c r="A1" s="14" t="s">
        <v>141</v>
      </c>
    </row>
    <row r="2" spans="1:22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</row>
    <row r="3" spans="1:22">
      <c r="B3" s="34">
        <f t="shared" ref="B3:B18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 t="str">
        <f>Setting!$D$10&amp;"-"&amp;RIGHT($E$4,LEN($E$4)-FIND(";",SUBSTITUTE($E$4,":",";",LEN($E$4)-LEN(SUBSTITUTE($E$4,":","")))))&amp;"-SSM-PortForward"</f>
        <v>mirai-ManagedPolicy-SSM-PortForward</v>
      </c>
    </row>
    <row r="4" spans="1:22">
      <c r="B4" s="34">
        <f t="shared" si="0"/>
        <v>2</v>
      </c>
      <c r="C4" s="18"/>
      <c r="D4" s="23"/>
      <c r="E4" s="37" t="s">
        <v>330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</row>
    <row r="5" spans="1:22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</row>
    <row r="6" spans="1:22">
      <c r="B6" s="34">
        <f t="shared" si="0"/>
        <v>4</v>
      </c>
      <c r="C6" s="18"/>
      <c r="D6" s="23"/>
      <c r="E6" s="19"/>
      <c r="F6" s="35" t="s">
        <v>187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 t="str">
        <f>$V$3</f>
        <v>mirai-ManagedPolicy-SSM-PortForward</v>
      </c>
    </row>
    <row r="7" spans="1:22">
      <c r="B7" s="34">
        <f t="shared" si="0"/>
        <v>5</v>
      </c>
      <c r="C7" s="18"/>
      <c r="D7" s="23"/>
      <c r="E7" s="19"/>
      <c r="F7" s="40" t="s">
        <v>331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5"/>
      <c r="S7" s="41" t="s">
        <v>146</v>
      </c>
      <c r="T7" s="42" t="s">
        <v>147</v>
      </c>
      <c r="U7" s="26"/>
      <c r="V7" s="26"/>
    </row>
    <row r="8" spans="1:22">
      <c r="B8" s="34">
        <f t="shared" si="0"/>
        <v>6</v>
      </c>
      <c r="C8" s="18"/>
      <c r="D8" s="23"/>
      <c r="E8" s="19"/>
      <c r="F8" s="24"/>
      <c r="G8" s="50" t="s">
        <v>153</v>
      </c>
      <c r="H8" s="43" t="s">
        <v>146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9"/>
      <c r="U8" s="9"/>
      <c r="V8" s="9"/>
    </row>
    <row r="9" spans="1:22">
      <c r="B9" s="34">
        <f t="shared" si="0"/>
        <v>7</v>
      </c>
      <c r="C9" s="18"/>
      <c r="D9" s="23"/>
      <c r="E9" s="19"/>
      <c r="F9" s="24"/>
      <c r="G9" s="50" t="s">
        <v>153</v>
      </c>
      <c r="H9" s="43" t="s">
        <v>146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9"/>
      <c r="U9" s="9"/>
      <c r="V9" s="9"/>
    </row>
    <row r="10" spans="1:22">
      <c r="B10" s="34">
        <f t="shared" si="0"/>
        <v>8</v>
      </c>
      <c r="C10" s="18"/>
      <c r="D10" s="23"/>
      <c r="E10" s="19"/>
      <c r="F10" s="35" t="s">
        <v>332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 t="str">
        <f>$V$3</f>
        <v>mirai-ManagedPolicy-SSM-PortForward</v>
      </c>
    </row>
    <row r="11" spans="1:22">
      <c r="B11" s="34">
        <f t="shared" si="0"/>
        <v>9</v>
      </c>
      <c r="C11" s="18"/>
      <c r="D11" s="23"/>
      <c r="E11" s="19"/>
      <c r="F11" s="35" t="s">
        <v>322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36" t="s">
        <v>147</v>
      </c>
      <c r="U11" s="9"/>
      <c r="V11" s="9"/>
    </row>
    <row r="12" spans="1:22" ht="393.75">
      <c r="B12" s="34">
        <f t="shared" si="0"/>
        <v>10</v>
      </c>
      <c r="C12" s="18"/>
      <c r="D12" s="23"/>
      <c r="E12" s="19"/>
      <c r="F12" s="35" t="s">
        <v>311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312</v>
      </c>
      <c r="T12" s="36" t="s">
        <v>147</v>
      </c>
      <c r="U12" s="9"/>
      <c r="V12" s="51" t="s">
        <v>371</v>
      </c>
    </row>
    <row r="13" spans="1:22">
      <c r="B13" s="34">
        <f t="shared" si="0"/>
        <v>11</v>
      </c>
      <c r="C13" s="18"/>
      <c r="D13" s="23"/>
      <c r="E13" s="19"/>
      <c r="F13" s="40" t="s">
        <v>329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5"/>
      <c r="S13" s="41" t="s">
        <v>146</v>
      </c>
      <c r="T13" s="42" t="s">
        <v>147</v>
      </c>
      <c r="U13" s="26"/>
      <c r="V13" s="26"/>
    </row>
    <row r="14" spans="1:22">
      <c r="B14" s="34">
        <f t="shared" si="0"/>
        <v>12</v>
      </c>
      <c r="C14" s="18"/>
      <c r="D14" s="23"/>
      <c r="E14" s="19"/>
      <c r="F14" s="24"/>
      <c r="G14" s="50" t="s">
        <v>153</v>
      </c>
      <c r="H14" s="43" t="s">
        <v>146</v>
      </c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4" t="s">
        <v>143</v>
      </c>
      <c r="T14" s="9"/>
      <c r="U14" s="9"/>
      <c r="V14" s="9"/>
    </row>
    <row r="15" spans="1:22">
      <c r="B15" s="34">
        <f t="shared" si="0"/>
        <v>13</v>
      </c>
      <c r="C15" s="18"/>
      <c r="D15" s="23"/>
      <c r="E15" s="19"/>
      <c r="F15" s="24"/>
      <c r="G15" s="50" t="s">
        <v>153</v>
      </c>
      <c r="H15" s="43" t="s">
        <v>146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4" t="s">
        <v>143</v>
      </c>
      <c r="T15" s="9"/>
      <c r="U15" s="9"/>
      <c r="V15" s="9"/>
    </row>
    <row r="16" spans="1:22">
      <c r="B16" s="34">
        <f t="shared" si="0"/>
        <v>14</v>
      </c>
      <c r="C16" s="18"/>
      <c r="D16" s="23"/>
      <c r="E16" s="19"/>
      <c r="F16" s="40" t="s">
        <v>333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41" t="s">
        <v>146</v>
      </c>
      <c r="T16" s="42" t="s">
        <v>147</v>
      </c>
      <c r="U16" s="26"/>
      <c r="V16" s="26"/>
    </row>
    <row r="17" spans="2:22">
      <c r="B17" s="34">
        <f t="shared" si="0"/>
        <v>15</v>
      </c>
      <c r="C17" s="18"/>
      <c r="D17" s="23"/>
      <c r="E17" s="19"/>
      <c r="F17" s="24"/>
      <c r="G17" s="50" t="s">
        <v>153</v>
      </c>
      <c r="H17" s="43" t="s">
        <v>146</v>
      </c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34" t="s">
        <v>143</v>
      </c>
      <c r="T17" s="9"/>
      <c r="U17" s="9"/>
      <c r="V17" s="9"/>
    </row>
    <row r="18" spans="2:22">
      <c r="B18" s="34">
        <f t="shared" si="0"/>
        <v>16</v>
      </c>
      <c r="C18" s="18"/>
      <c r="D18" s="23"/>
      <c r="E18" s="19"/>
      <c r="F18" s="24"/>
      <c r="G18" s="50" t="s">
        <v>153</v>
      </c>
      <c r="H18" s="43" t="s">
        <v>146</v>
      </c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34" t="s">
        <v>143</v>
      </c>
      <c r="T18" s="9"/>
      <c r="U18" s="9"/>
      <c r="V18" s="9"/>
    </row>
  </sheetData>
  <phoneticPr fontId="1"/>
  <hyperlinks>
    <hyperlink ref="T4" r:id="rId1" tooltip="http://docs.aws.amazon.com/AWSCloudFormation/latest/UserGuide/aws-resource-iam-managedpolicy.html" xr:uid="{84C632A6-057F-476E-8892-F2F4378B767A}"/>
    <hyperlink ref="T6" r:id="rId2" location="cfn-iam-managedpolicy-description" tooltip="http://docs.aws.amazon.com/AWSCloudFormation/latest/UserGuide/aws-resource-iam-managedpolicy.html#cfn-iam-managedpolicy-description" xr:uid="{BADB62F0-8D02-4E27-BCEB-9F9DF58580A8}"/>
    <hyperlink ref="T7" r:id="rId3" location="cfn-iam-managedpolicy-groups" tooltip="http://docs.aws.amazon.com/AWSCloudFormation/latest/UserGuide/aws-resource-iam-managedpolicy.html#cfn-iam-managedpolicy-groups" xr:uid="{F37405F9-CEDE-4F63-9986-23034B5AFA24}"/>
    <hyperlink ref="T10" r:id="rId4" location="cfn-iam-managedpolicy-managedpolicyname" tooltip="http://docs.aws.amazon.com/AWSCloudFormation/latest/UserGuide/aws-resource-iam-managedpolicy.html#cfn-iam-managedpolicy-managedpolicyname" xr:uid="{5F7DC854-00B6-4EAC-AB45-9F27CD8ED083}"/>
    <hyperlink ref="T11" r:id="rId5" location="cfn-ec2-dhcpoptions-path" tooltip="http://docs.aws.amazon.com/AWSCloudFormation/latest/UserGuide/aws-resource-iam-managedpolicy.html#cfn-ec2-dhcpoptions-path" xr:uid="{3552C255-9C82-48A0-9BEC-E8FAEEA549D1}"/>
    <hyperlink ref="T12" r:id="rId6" location="cfn-iam-managedpolicy-policydocument" tooltip="http://docs.aws.amazon.com/AWSCloudFormation/latest/UserGuide/aws-resource-iam-managedpolicy.html#cfn-iam-managedpolicy-policydocument" xr:uid="{37F454D7-8644-4D08-8E26-2031E2B6FC9B}"/>
    <hyperlink ref="T13" r:id="rId7" location="cfn-iam-managedpolicy-roles" tooltip="http://docs.aws.amazon.com/AWSCloudFormation/latest/UserGuide/aws-resource-iam-managedpolicy.html#cfn-iam-managedpolicy-roles" xr:uid="{677873AF-E204-40A6-B58D-9A3BE6E89B47}"/>
    <hyperlink ref="T16" r:id="rId8" location="cfn-iam-managedpolicy-users" tooltip="http://docs.aws.amazon.com/AWSCloudFormation/latest/UserGuide/aws-resource-iam-managedpolicy.html#cfn-iam-managedpolicy-users" xr:uid="{725C8B65-012C-4D89-AC48-CE4964A1B250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E59E8-2E58-42B8-9D44-8913EDBB91D1}">
  <sheetPr codeName="Sheet144"/>
  <dimension ref="A1:Z21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S25" sqref="S25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8" style="8" bestFit="1" customWidth="1"/>
    <col min="23" max="23" width="35.875" bestFit="1" customWidth="1"/>
    <col min="24" max="24" width="44.75" bestFit="1" customWidth="1"/>
    <col min="25" max="25" width="45.5" bestFit="1" customWidth="1"/>
    <col min="26" max="26" width="34.125" bestFit="1" customWidth="1"/>
  </cols>
  <sheetData>
    <row r="1" spans="1:26">
      <c r="A1" s="14" t="s">
        <v>141</v>
      </c>
    </row>
    <row r="2" spans="1:26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  <c r="W2" s="7" t="str">
        <f>"Value" &amp; COLUMN() -  21</f>
        <v>Value2</v>
      </c>
      <c r="X2" s="7" t="str">
        <f t="shared" ref="X2:Z2" si="0">"Value" &amp; COLUMN() -  21</f>
        <v>Value3</v>
      </c>
      <c r="Y2" s="7" t="str">
        <f t="shared" si="0"/>
        <v>Value4</v>
      </c>
      <c r="Z2" s="7" t="str">
        <f t="shared" si="0"/>
        <v>Value5</v>
      </c>
    </row>
    <row r="3" spans="1:26">
      <c r="B3" s="34">
        <f t="shared" ref="B3:B10" si="1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/>
      <c r="W3" s="9" t="str">
        <f>Setting!$D$10&amp;"-"&amp;RIGHT($E$4,LEN($E$4)-FIND(";",SUBSTITUTE($E$4,":",";",LEN($E$4)-LEN(SUBSTITUTE($E$4,":","")))))&amp;RIGHT("0"&amp;(COLUMN()-21),2)</f>
        <v>mirai-VPCEndpoint02</v>
      </c>
      <c r="X3" s="9" t="str">
        <f>Setting!$D$10&amp;"-"&amp;RIGHT($E$4,LEN($E$4)-FIND(";",SUBSTITUTE($E$4,":",";",LEN($E$4)-LEN(SUBSTITUTE($E$4,":","")))))&amp;RIGHT("0"&amp;(COLUMN()-21),2)</f>
        <v>mirai-VPCEndpoint03</v>
      </c>
      <c r="Y3" s="9" t="str">
        <f>Setting!$D$10&amp;"-"&amp;RIGHT($E$4,LEN($E$4)-FIND(";",SUBSTITUTE($E$4,":",";",LEN($E$4)-LEN(SUBSTITUTE($E$4,":","")))))&amp;RIGHT("0"&amp;(COLUMN()-21),2)</f>
        <v>mirai-VPCEndpoint04</v>
      </c>
      <c r="Z3" s="9" t="str">
        <f>Setting!$D$10&amp;"-"&amp;RIGHT($E$4,LEN($E$4)-FIND(";",SUBSTITUTE($E$4,":",";",LEN($E$4)-LEN(SUBSTITUTE($E$4,":","")))))&amp;RIGHT("0"&amp;(COLUMN()-21),2)</f>
        <v>mirai-VPCEndpoint05</v>
      </c>
    </row>
    <row r="4" spans="1:26">
      <c r="B4" s="34">
        <f t="shared" si="1"/>
        <v>2</v>
      </c>
      <c r="C4" s="18"/>
      <c r="D4" s="23"/>
      <c r="E4" s="37" t="s">
        <v>310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  <c r="W4" s="22"/>
      <c r="X4" s="22"/>
      <c r="Y4" s="22"/>
      <c r="Z4" s="22"/>
    </row>
    <row r="5" spans="1:26">
      <c r="B5" s="34">
        <f t="shared" si="1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  <c r="W5" s="22"/>
      <c r="X5" s="22"/>
      <c r="Y5" s="22"/>
      <c r="Z5" s="22"/>
    </row>
    <row r="6" spans="1:26">
      <c r="B6" s="34">
        <f t="shared" si="1"/>
        <v>4</v>
      </c>
      <c r="C6" s="18"/>
      <c r="D6" s="23"/>
      <c r="E6" s="19"/>
      <c r="F6" s="35" t="s">
        <v>311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312</v>
      </c>
      <c r="T6" s="36" t="s">
        <v>147</v>
      </c>
      <c r="U6" s="9"/>
      <c r="V6" s="9"/>
      <c r="W6" s="9"/>
      <c r="X6" s="9"/>
      <c r="Y6" s="9"/>
      <c r="Z6" s="9"/>
    </row>
    <row r="7" spans="1:26">
      <c r="B7" s="34">
        <f t="shared" si="1"/>
        <v>5</v>
      </c>
      <c r="C7" s="18"/>
      <c r="D7" s="23"/>
      <c r="E7" s="19"/>
      <c r="F7" s="35" t="s">
        <v>313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150</v>
      </c>
      <c r="T7" s="36" t="s">
        <v>147</v>
      </c>
      <c r="U7" s="9"/>
      <c r="V7" s="9"/>
      <c r="W7" s="9" t="s">
        <v>212</v>
      </c>
      <c r="X7" s="9" t="s">
        <v>212</v>
      </c>
      <c r="Y7" s="9" t="s">
        <v>212</v>
      </c>
      <c r="Z7" s="9"/>
    </row>
    <row r="8" spans="1:26">
      <c r="B8" s="34">
        <f t="shared" si="1"/>
        <v>6</v>
      </c>
      <c r="C8" s="18"/>
      <c r="D8" s="23"/>
      <c r="E8" s="19"/>
      <c r="F8" s="40" t="s">
        <v>314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5"/>
      <c r="S8" s="41" t="s">
        <v>146</v>
      </c>
      <c r="T8" s="42" t="s">
        <v>147</v>
      </c>
      <c r="U8" s="26"/>
      <c r="V8" s="26"/>
      <c r="W8" s="26"/>
      <c r="X8" s="26"/>
      <c r="Y8" s="26"/>
      <c r="Z8" s="26"/>
    </row>
    <row r="9" spans="1:26">
      <c r="B9" s="34">
        <f t="shared" si="1"/>
        <v>7</v>
      </c>
      <c r="C9" s="18"/>
      <c r="D9" s="23"/>
      <c r="E9" s="19"/>
      <c r="F9" s="24"/>
      <c r="G9" s="50" t="s">
        <v>153</v>
      </c>
      <c r="H9" s="43" t="s">
        <v>146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34" t="s">
        <v>143</v>
      </c>
      <c r="T9" s="9"/>
      <c r="U9" s="9"/>
      <c r="V9" s="9"/>
      <c r="W9" s="9"/>
      <c r="X9" s="9"/>
      <c r="Y9" s="9"/>
      <c r="Z9" s="9" t="str">
        <f>RouteTable!$V$3</f>
        <v>mirai-RouteTable-Private01</v>
      </c>
    </row>
    <row r="10" spans="1:26">
      <c r="B10" s="34">
        <f t="shared" si="1"/>
        <v>8</v>
      </c>
      <c r="C10" s="18"/>
      <c r="D10" s="23"/>
      <c r="E10" s="19"/>
      <c r="F10" s="24"/>
      <c r="G10" s="50" t="s">
        <v>153</v>
      </c>
      <c r="H10" s="43" t="s">
        <v>146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9"/>
      <c r="U10" s="9"/>
      <c r="V10" s="9"/>
      <c r="W10" s="9"/>
      <c r="X10" s="9"/>
      <c r="Y10" s="9"/>
      <c r="Z10" s="9" t="str">
        <f>RouteTable!$W$3</f>
        <v>mirai-RouteTable-Private02</v>
      </c>
    </row>
    <row r="11" spans="1:26" s="8" customFormat="1">
      <c r="B11" s="34">
        <f t="shared" ref="B11:B12" si="2">ROW()-2</f>
        <v>9</v>
      </c>
      <c r="C11" s="18"/>
      <c r="D11" s="23"/>
      <c r="E11" s="19"/>
      <c r="F11" s="24"/>
      <c r="G11" s="50" t="s">
        <v>153</v>
      </c>
      <c r="H11" s="43" t="s">
        <v>146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4" t="s">
        <v>143</v>
      </c>
      <c r="T11" s="9"/>
      <c r="U11" s="9"/>
      <c r="V11" s="9"/>
      <c r="W11" s="9"/>
      <c r="X11" s="9"/>
      <c r="Y11" s="9"/>
      <c r="Z11" s="9" t="str">
        <f>RouteTable!$X$3</f>
        <v>mirai-RouteTable-Private03</v>
      </c>
    </row>
    <row r="12" spans="1:26" s="8" customFormat="1">
      <c r="B12" s="34">
        <f t="shared" si="2"/>
        <v>10</v>
      </c>
      <c r="C12" s="18"/>
      <c r="D12" s="23"/>
      <c r="E12" s="19"/>
      <c r="F12" s="24"/>
      <c r="G12" s="50" t="s">
        <v>153</v>
      </c>
      <c r="H12" s="43" t="s">
        <v>146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4" t="s">
        <v>143</v>
      </c>
      <c r="T12" s="9"/>
      <c r="U12" s="9"/>
      <c r="V12" s="9"/>
      <c r="W12" s="9"/>
      <c r="X12" s="9"/>
      <c r="Y12" s="9"/>
      <c r="Z12" s="9"/>
    </row>
    <row r="13" spans="1:26">
      <c r="B13" s="34">
        <f t="shared" ref="B13:B21" si="3">ROW()-2</f>
        <v>11</v>
      </c>
      <c r="C13" s="18"/>
      <c r="D13" s="23"/>
      <c r="E13" s="19"/>
      <c r="F13" s="40" t="s">
        <v>64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5"/>
      <c r="S13" s="41" t="s">
        <v>146</v>
      </c>
      <c r="T13" s="42" t="s">
        <v>147</v>
      </c>
      <c r="U13" s="26"/>
      <c r="V13" s="26"/>
      <c r="W13" s="26"/>
      <c r="X13" s="26"/>
      <c r="Y13" s="26"/>
      <c r="Z13" s="26"/>
    </row>
    <row r="14" spans="1:26">
      <c r="B14" s="34">
        <f t="shared" si="3"/>
        <v>12</v>
      </c>
      <c r="C14" s="18"/>
      <c r="D14" s="23"/>
      <c r="E14" s="19"/>
      <c r="F14" s="24"/>
      <c r="G14" s="50" t="s">
        <v>153</v>
      </c>
      <c r="H14" s="43" t="s">
        <v>146</v>
      </c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4" t="s">
        <v>143</v>
      </c>
      <c r="T14" s="9"/>
      <c r="U14" s="9"/>
      <c r="V14" s="9"/>
      <c r="W14" s="9" t="str">
        <f>SecurityGroup!$W$3</f>
        <v>mirai-SecurityGroup-SSM-EndPoint</v>
      </c>
      <c r="X14" s="9" t="str">
        <f>SecurityGroup!$W$3</f>
        <v>mirai-SecurityGroup-SSM-EndPoint</v>
      </c>
      <c r="Y14" s="9" t="str">
        <f>SecurityGroup!$W$3</f>
        <v>mirai-SecurityGroup-SSM-EndPoint</v>
      </c>
      <c r="Z14" s="9"/>
    </row>
    <row r="15" spans="1:26">
      <c r="B15" s="34">
        <f t="shared" si="3"/>
        <v>13</v>
      </c>
      <c r="C15" s="18"/>
      <c r="D15" s="23"/>
      <c r="E15" s="19"/>
      <c r="F15" s="24"/>
      <c r="G15" s="50" t="s">
        <v>153</v>
      </c>
      <c r="H15" s="43" t="s">
        <v>146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4" t="s">
        <v>143</v>
      </c>
      <c r="T15" s="9"/>
      <c r="U15" s="9"/>
      <c r="V15" s="9"/>
      <c r="W15" s="9"/>
      <c r="X15" s="9"/>
      <c r="Y15" s="9"/>
      <c r="Z15" s="9"/>
    </row>
    <row r="16" spans="1:26">
      <c r="B16" s="34">
        <f t="shared" si="3"/>
        <v>14</v>
      </c>
      <c r="C16" s="18"/>
      <c r="D16" s="23"/>
      <c r="E16" s="19"/>
      <c r="F16" s="35" t="s">
        <v>315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4" t="s">
        <v>143</v>
      </c>
      <c r="T16" s="36" t="s">
        <v>147</v>
      </c>
      <c r="U16" s="9"/>
      <c r="V16" s="9"/>
      <c r="W16" s="9" t="str">
        <f>"com.amazonaws."&amp;Setting!$D$11&amp;".ssm"</f>
        <v>com.amazonaws.ap-northeast-1.ssm</v>
      </c>
      <c r="X16" s="9" t="str">
        <f>"com.amazonaws."&amp;Setting!$D$11&amp;".ec2messages"</f>
        <v>com.amazonaws.ap-northeast-1.ec2messages</v>
      </c>
      <c r="Y16" s="9" t="str">
        <f>"com.amazonaws."&amp;Setting!$D$11&amp;".ssmmessages"</f>
        <v>com.amazonaws.ap-northeast-1.ssmmessages</v>
      </c>
      <c r="Z16" s="9" t="str">
        <f>"com.amazonaws."&amp;Setting!$D$11&amp;".s3"</f>
        <v>com.amazonaws.ap-northeast-1.s3</v>
      </c>
    </row>
    <row r="17" spans="2:26">
      <c r="B17" s="34">
        <f t="shared" si="3"/>
        <v>15</v>
      </c>
      <c r="C17" s="18"/>
      <c r="D17" s="23"/>
      <c r="E17" s="19"/>
      <c r="F17" s="40" t="s">
        <v>316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5"/>
      <c r="S17" s="41" t="s">
        <v>146</v>
      </c>
      <c r="T17" s="42" t="s">
        <v>147</v>
      </c>
      <c r="U17" s="26"/>
      <c r="V17" s="26"/>
      <c r="W17" s="26"/>
      <c r="X17" s="26"/>
      <c r="Y17" s="26"/>
      <c r="Z17" s="26"/>
    </row>
    <row r="18" spans="2:26">
      <c r="B18" s="34">
        <f t="shared" si="3"/>
        <v>16</v>
      </c>
      <c r="C18" s="18"/>
      <c r="D18" s="23"/>
      <c r="E18" s="19"/>
      <c r="F18" s="24"/>
      <c r="G18" s="50" t="s">
        <v>153</v>
      </c>
      <c r="H18" s="43" t="s">
        <v>146</v>
      </c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34" t="s">
        <v>143</v>
      </c>
      <c r="T18" s="9"/>
      <c r="U18" s="9"/>
      <c r="V18" s="9"/>
      <c r="W18" s="9" t="str">
        <f>Subnet!$V$3</f>
        <v>mirai-Subnet-Private01</v>
      </c>
      <c r="X18" s="9" t="str">
        <f>Subnet!$V$3</f>
        <v>mirai-Subnet-Private01</v>
      </c>
      <c r="Y18" s="9" t="str">
        <f>Subnet!$V$3</f>
        <v>mirai-Subnet-Private01</v>
      </c>
      <c r="Z18" s="9"/>
    </row>
    <row r="19" spans="2:26">
      <c r="B19" s="34">
        <f t="shared" si="3"/>
        <v>17</v>
      </c>
      <c r="C19" s="18"/>
      <c r="D19" s="23"/>
      <c r="E19" s="19"/>
      <c r="F19" s="24"/>
      <c r="G19" s="50" t="s">
        <v>153</v>
      </c>
      <c r="H19" s="43" t="s">
        <v>146</v>
      </c>
      <c r="I19" s="15"/>
      <c r="J19" s="15"/>
      <c r="K19" s="15"/>
      <c r="L19" s="15"/>
      <c r="M19" s="15"/>
      <c r="N19" s="15"/>
      <c r="O19" s="15"/>
      <c r="P19" s="15"/>
      <c r="Q19" s="15"/>
      <c r="R19" s="16"/>
      <c r="S19" s="34" t="s">
        <v>143</v>
      </c>
      <c r="T19" s="9"/>
      <c r="U19" s="9"/>
      <c r="V19" s="9"/>
      <c r="W19" s="9"/>
      <c r="X19" s="9"/>
      <c r="Y19" s="9"/>
      <c r="Z19" s="9"/>
    </row>
    <row r="20" spans="2:26">
      <c r="B20" s="34">
        <f t="shared" si="3"/>
        <v>18</v>
      </c>
      <c r="C20" s="18"/>
      <c r="D20" s="23"/>
      <c r="E20" s="19"/>
      <c r="F20" s="35" t="s">
        <v>317</v>
      </c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34" t="s">
        <v>143</v>
      </c>
      <c r="T20" s="36" t="s">
        <v>147</v>
      </c>
      <c r="U20" s="9"/>
      <c r="V20" s="9"/>
      <c r="W20" s="9" t="s">
        <v>370</v>
      </c>
      <c r="X20" s="9" t="s">
        <v>370</v>
      </c>
      <c r="Y20" s="9" t="s">
        <v>370</v>
      </c>
      <c r="Z20" s="9"/>
    </row>
    <row r="21" spans="2:26">
      <c r="B21" s="34">
        <f t="shared" si="3"/>
        <v>19</v>
      </c>
      <c r="C21" s="18"/>
      <c r="D21" s="23"/>
      <c r="E21" s="19"/>
      <c r="F21" s="35" t="s">
        <v>160</v>
      </c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34" t="s">
        <v>143</v>
      </c>
      <c r="T21" s="36" t="s">
        <v>147</v>
      </c>
      <c r="U21" s="9"/>
      <c r="V21" s="9"/>
      <c r="W21" s="9" t="str">
        <f>VPC!$V$3</f>
        <v>mirai-VPC</v>
      </c>
      <c r="X21" s="9" t="str">
        <f>VPC!$V$3</f>
        <v>mirai-VPC</v>
      </c>
      <c r="Y21" s="9" t="str">
        <f>VPC!$V$3</f>
        <v>mirai-VPC</v>
      </c>
      <c r="Z21" s="9" t="str">
        <f>VPC!$V$3</f>
        <v>mirai-VPC</v>
      </c>
    </row>
  </sheetData>
  <phoneticPr fontId="1"/>
  <hyperlinks>
    <hyperlink ref="T4" r:id="rId1" tooltip="http://docs.aws.amazon.com/AWSCloudFormation/latest/UserGuide/aws-resource-ec2-vpcendpoint.html" xr:uid="{80FE43FC-95A9-4353-A3C1-E7F1735F1D78}"/>
    <hyperlink ref="T6" r:id="rId2" location="cfn-ec2-vpcendpoint-policydocument" tooltip="http://docs.aws.amazon.com/AWSCloudFormation/latest/UserGuide/aws-resource-ec2-vpcendpoint.html#cfn-ec2-vpcendpoint-policydocument" xr:uid="{FF2CD0A0-02F5-4AEA-B0BF-82EAB5E64CD5}"/>
    <hyperlink ref="T7" r:id="rId3" location="cfn-ec2-vpcendpoint-privatednsenabled" tooltip="http://docs.aws.amazon.com/AWSCloudFormation/latest/UserGuide/aws-resource-ec2-vpcendpoint.html#cfn-ec2-vpcendpoint-privatednsenabled" xr:uid="{D598443D-B25F-40E7-9AC7-96087B163925}"/>
    <hyperlink ref="T8" r:id="rId4" location="cfn-ec2-vpcendpoint-routetableids" tooltip="http://docs.aws.amazon.com/AWSCloudFormation/latest/UserGuide/aws-resource-ec2-vpcendpoint.html#cfn-ec2-vpcendpoint-routetableids" xr:uid="{B5CB806E-0FBD-49AF-BD70-6669453BBF43}"/>
    <hyperlink ref="T13" r:id="rId5" location="cfn-ec2-vpcendpoint-securitygroupids" tooltip="http://docs.aws.amazon.com/AWSCloudFormation/latest/UserGuide/aws-resource-ec2-vpcendpoint.html#cfn-ec2-vpcendpoint-securitygroupids" xr:uid="{747A054E-5979-4837-99E5-8D11194A8C1D}"/>
    <hyperlink ref="T16" r:id="rId6" location="cfn-ec2-vpcendpoint-servicename" tooltip="http://docs.aws.amazon.com/AWSCloudFormation/latest/UserGuide/aws-resource-ec2-vpcendpoint.html#cfn-ec2-vpcendpoint-servicename" xr:uid="{938BC434-4571-49AC-B2C9-EEC0307AB004}"/>
    <hyperlink ref="T17" r:id="rId7" location="cfn-ec2-vpcendpoint-subnetids" tooltip="http://docs.aws.amazon.com/AWSCloudFormation/latest/UserGuide/aws-resource-ec2-vpcendpoint.html#cfn-ec2-vpcendpoint-subnetids" xr:uid="{081A3E00-0C19-47F5-A391-2CD3D976890E}"/>
    <hyperlink ref="T20" r:id="rId8" location="cfn-ec2-vpcendpoint-vpcendpointtype" tooltip="http://docs.aws.amazon.com/AWSCloudFormation/latest/UserGuide/aws-resource-ec2-vpcendpoint.html#cfn-ec2-vpcendpoint-vpcendpointtype" xr:uid="{10A67FA7-6EFA-4E01-8906-A04F295F0D4F}"/>
    <hyperlink ref="T21" r:id="rId9" location="cfn-ec2-vpcendpoint-vpcid" tooltip="http://docs.aws.amazon.com/AWSCloudFormation/latest/UserGuide/aws-resource-ec2-vpcendpoint.html#cfn-ec2-vpcendpoint-vpcid" xr:uid="{3A9392A2-C8EB-4719-B189-25110CFE3C83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4F3E2-B4FE-4089-A87F-1E3B55220FD3}">
  <sheetPr codeName="Sheet143"/>
  <dimension ref="A1:V155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I15" sqref="I15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</cols>
  <sheetData>
    <row r="1" spans="1:22">
      <c r="A1" s="14" t="s">
        <v>141</v>
      </c>
    </row>
    <row r="2" spans="1:22">
      <c r="B2" s="7" t="s">
        <v>155</v>
      </c>
      <c r="C2" s="7" t="s">
        <v>156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157</v>
      </c>
      <c r="T2" s="7" t="s">
        <v>158</v>
      </c>
      <c r="U2" s="7" t="s">
        <v>141</v>
      </c>
      <c r="V2" s="7" t="str">
        <f>"Value" &amp; COLUMN() -  21</f>
        <v>Value1</v>
      </c>
    </row>
    <row r="3" spans="1:22">
      <c r="B3" s="34">
        <f t="shared" ref="B3:B34" si="0">ROW()-2</f>
        <v>1</v>
      </c>
      <c r="C3" s="18"/>
      <c r="D3" s="35" t="s">
        <v>142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4" t="s">
        <v>143</v>
      </c>
      <c r="T3" s="9" t="s">
        <v>144</v>
      </c>
      <c r="U3" s="9"/>
      <c r="V3" s="9"/>
    </row>
    <row r="4" spans="1:22">
      <c r="B4" s="34">
        <f t="shared" si="0"/>
        <v>2</v>
      </c>
      <c r="C4" s="18"/>
      <c r="D4" s="23"/>
      <c r="E4" s="37" t="s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  <c r="S4" s="38" t="s">
        <v>146</v>
      </c>
      <c r="T4" s="39" t="s">
        <v>147</v>
      </c>
      <c r="U4" s="22"/>
      <c r="V4" s="22"/>
    </row>
    <row r="5" spans="1:22">
      <c r="B5" s="34">
        <f t="shared" si="0"/>
        <v>3</v>
      </c>
      <c r="C5" s="18"/>
      <c r="D5" s="23"/>
      <c r="E5" s="37" t="s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  <c r="S5" s="38" t="s">
        <v>146</v>
      </c>
      <c r="T5" s="21" t="s">
        <v>146</v>
      </c>
      <c r="U5" s="22"/>
      <c r="V5" s="22"/>
    </row>
    <row r="6" spans="1:22">
      <c r="B6" s="34">
        <f t="shared" si="0"/>
        <v>4</v>
      </c>
      <c r="C6" s="18"/>
      <c r="D6" s="23"/>
      <c r="E6" s="19"/>
      <c r="F6" s="35" t="s">
        <v>214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4" t="s">
        <v>143</v>
      </c>
      <c r="T6" s="36" t="s">
        <v>147</v>
      </c>
      <c r="U6" s="9"/>
      <c r="V6" s="9"/>
    </row>
    <row r="7" spans="1:22">
      <c r="B7" s="34">
        <f t="shared" si="0"/>
        <v>5</v>
      </c>
      <c r="C7" s="18"/>
      <c r="D7" s="23"/>
      <c r="E7" s="19"/>
      <c r="F7" s="35" t="s">
        <v>215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4" t="s">
        <v>143</v>
      </c>
      <c r="T7" s="36" t="s">
        <v>147</v>
      </c>
      <c r="U7" s="9"/>
      <c r="V7" s="9"/>
    </row>
    <row r="8" spans="1:22">
      <c r="B8" s="34">
        <f t="shared" si="0"/>
        <v>6</v>
      </c>
      <c r="C8" s="18"/>
      <c r="D8" s="23"/>
      <c r="E8" s="19"/>
      <c r="F8" s="35" t="s">
        <v>165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4" t="s">
        <v>143</v>
      </c>
      <c r="T8" s="36" t="s">
        <v>147</v>
      </c>
      <c r="U8" s="9"/>
      <c r="V8" s="9"/>
    </row>
    <row r="9" spans="1:22">
      <c r="B9" s="34">
        <f t="shared" si="0"/>
        <v>7</v>
      </c>
      <c r="C9" s="18"/>
      <c r="D9" s="23"/>
      <c r="E9" s="19"/>
      <c r="F9" s="40" t="s">
        <v>7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5"/>
      <c r="S9" s="41" t="s">
        <v>146</v>
      </c>
      <c r="T9" s="42" t="s">
        <v>147</v>
      </c>
      <c r="U9" s="26"/>
      <c r="V9" s="26"/>
    </row>
    <row r="10" spans="1:22">
      <c r="B10" s="34">
        <f t="shared" si="0"/>
        <v>8</v>
      </c>
      <c r="C10" s="18"/>
      <c r="D10" s="23"/>
      <c r="E10" s="19"/>
      <c r="F10" s="24"/>
      <c r="G10" s="50" t="s">
        <v>153</v>
      </c>
      <c r="H10" s="35" t="s">
        <v>216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4" t="s">
        <v>143</v>
      </c>
      <c r="T10" s="36" t="s">
        <v>147</v>
      </c>
      <c r="U10" s="9"/>
      <c r="V10" s="9"/>
    </row>
    <row r="11" spans="1:22">
      <c r="B11" s="34">
        <f t="shared" si="0"/>
        <v>9</v>
      </c>
      <c r="C11" s="18"/>
      <c r="D11" s="23"/>
      <c r="E11" s="19"/>
      <c r="F11" s="24"/>
      <c r="G11" s="15"/>
      <c r="H11" s="44" t="s">
        <v>9</v>
      </c>
      <c r="I11" s="27"/>
      <c r="J11" s="27"/>
      <c r="K11" s="27"/>
      <c r="L11" s="27"/>
      <c r="M11" s="27"/>
      <c r="N11" s="27"/>
      <c r="O11" s="27"/>
      <c r="P11" s="27"/>
      <c r="Q11" s="27"/>
      <c r="R11" s="28"/>
      <c r="S11" s="45" t="s">
        <v>146</v>
      </c>
      <c r="T11" s="46" t="s">
        <v>147</v>
      </c>
      <c r="U11" s="29"/>
      <c r="V11" s="29"/>
    </row>
    <row r="12" spans="1:22">
      <c r="B12" s="34">
        <f t="shared" si="0"/>
        <v>10</v>
      </c>
      <c r="C12" s="18"/>
      <c r="D12" s="23"/>
      <c r="E12" s="19"/>
      <c r="F12" s="24"/>
      <c r="G12" s="15"/>
      <c r="H12" s="27"/>
      <c r="I12" s="35" t="s">
        <v>217</v>
      </c>
      <c r="J12" s="15"/>
      <c r="K12" s="15"/>
      <c r="L12" s="15"/>
      <c r="M12" s="15"/>
      <c r="N12" s="15"/>
      <c r="O12" s="15"/>
      <c r="P12" s="15"/>
      <c r="Q12" s="15"/>
      <c r="R12" s="16"/>
      <c r="S12" s="34" t="s">
        <v>150</v>
      </c>
      <c r="T12" s="36" t="s">
        <v>147</v>
      </c>
      <c r="U12" s="9"/>
      <c r="V12" s="9"/>
    </row>
    <row r="13" spans="1:22">
      <c r="B13" s="34">
        <f t="shared" si="0"/>
        <v>11</v>
      </c>
      <c r="C13" s="18"/>
      <c r="D13" s="23"/>
      <c r="E13" s="19"/>
      <c r="F13" s="24"/>
      <c r="G13" s="15"/>
      <c r="H13" s="27"/>
      <c r="I13" s="35" t="s">
        <v>218</v>
      </c>
      <c r="J13" s="15"/>
      <c r="K13" s="15"/>
      <c r="L13" s="15"/>
      <c r="M13" s="15"/>
      <c r="N13" s="15"/>
      <c r="O13" s="15"/>
      <c r="P13" s="15"/>
      <c r="Q13" s="15"/>
      <c r="R13" s="16"/>
      <c r="S13" s="34" t="s">
        <v>150</v>
      </c>
      <c r="T13" s="36" t="s">
        <v>147</v>
      </c>
      <c r="U13" s="9"/>
      <c r="V13" s="9"/>
    </row>
    <row r="14" spans="1:22">
      <c r="B14" s="34">
        <f t="shared" si="0"/>
        <v>12</v>
      </c>
      <c r="C14" s="18"/>
      <c r="D14" s="23"/>
      <c r="E14" s="19"/>
      <c r="F14" s="24"/>
      <c r="G14" s="15"/>
      <c r="H14" s="27"/>
      <c r="I14" s="35" t="s">
        <v>219</v>
      </c>
      <c r="J14" s="15"/>
      <c r="K14" s="15"/>
      <c r="L14" s="15"/>
      <c r="M14" s="15"/>
      <c r="N14" s="15"/>
      <c r="O14" s="15"/>
      <c r="P14" s="15"/>
      <c r="Q14" s="15"/>
      <c r="R14" s="16"/>
      <c r="S14" s="34" t="s">
        <v>162</v>
      </c>
      <c r="T14" s="36" t="s">
        <v>147</v>
      </c>
      <c r="U14" s="9"/>
      <c r="V14" s="9"/>
    </row>
    <row r="15" spans="1:22">
      <c r="B15" s="34">
        <f t="shared" si="0"/>
        <v>13</v>
      </c>
      <c r="C15" s="18"/>
      <c r="D15" s="23"/>
      <c r="E15" s="19"/>
      <c r="F15" s="24"/>
      <c r="G15" s="15"/>
      <c r="H15" s="27"/>
      <c r="I15" s="35" t="s">
        <v>220</v>
      </c>
      <c r="J15" s="15"/>
      <c r="K15" s="15"/>
      <c r="L15" s="15"/>
      <c r="M15" s="15"/>
      <c r="N15" s="15"/>
      <c r="O15" s="15"/>
      <c r="P15" s="15"/>
      <c r="Q15" s="15"/>
      <c r="R15" s="16"/>
      <c r="S15" s="34" t="s">
        <v>143</v>
      </c>
      <c r="T15" s="36" t="s">
        <v>147</v>
      </c>
      <c r="U15" s="9"/>
      <c r="V15" s="9"/>
    </row>
    <row r="16" spans="1:22">
      <c r="B16" s="34">
        <f t="shared" si="0"/>
        <v>14</v>
      </c>
      <c r="C16" s="18"/>
      <c r="D16" s="23"/>
      <c r="E16" s="19"/>
      <c r="F16" s="24"/>
      <c r="G16" s="15"/>
      <c r="H16" s="27"/>
      <c r="I16" s="35" t="s">
        <v>221</v>
      </c>
      <c r="J16" s="15"/>
      <c r="K16" s="15"/>
      <c r="L16" s="15"/>
      <c r="M16" s="15"/>
      <c r="N16" s="15"/>
      <c r="O16" s="15"/>
      <c r="P16" s="15"/>
      <c r="Q16" s="15"/>
      <c r="R16" s="16"/>
      <c r="S16" s="34" t="s">
        <v>143</v>
      </c>
      <c r="T16" s="36" t="s">
        <v>147</v>
      </c>
      <c r="U16" s="9"/>
      <c r="V16" s="9"/>
    </row>
    <row r="17" spans="2:22">
      <c r="B17" s="34">
        <f t="shared" si="0"/>
        <v>15</v>
      </c>
      <c r="C17" s="18"/>
      <c r="D17" s="23"/>
      <c r="E17" s="19"/>
      <c r="F17" s="24"/>
      <c r="G17" s="15"/>
      <c r="H17" s="27"/>
      <c r="I17" s="35" t="s">
        <v>222</v>
      </c>
      <c r="J17" s="15"/>
      <c r="K17" s="15"/>
      <c r="L17" s="15"/>
      <c r="M17" s="15"/>
      <c r="N17" s="15"/>
      <c r="O17" s="15"/>
      <c r="P17" s="15"/>
      <c r="Q17" s="15"/>
      <c r="R17" s="16"/>
      <c r="S17" s="34" t="s">
        <v>162</v>
      </c>
      <c r="T17" s="36" t="s">
        <v>147</v>
      </c>
      <c r="U17" s="9"/>
      <c r="V17" s="9"/>
    </row>
    <row r="18" spans="2:22">
      <c r="B18" s="34">
        <f t="shared" si="0"/>
        <v>16</v>
      </c>
      <c r="C18" s="18"/>
      <c r="D18" s="23"/>
      <c r="E18" s="19"/>
      <c r="F18" s="24"/>
      <c r="G18" s="15"/>
      <c r="H18" s="27"/>
      <c r="I18" s="35" t="s">
        <v>223</v>
      </c>
      <c r="J18" s="15"/>
      <c r="K18" s="15"/>
      <c r="L18" s="15"/>
      <c r="M18" s="15"/>
      <c r="N18" s="15"/>
      <c r="O18" s="15"/>
      <c r="P18" s="15"/>
      <c r="Q18" s="15"/>
      <c r="R18" s="16"/>
      <c r="S18" s="34" t="s">
        <v>143</v>
      </c>
      <c r="T18" s="36" t="s">
        <v>147</v>
      </c>
      <c r="U18" s="9"/>
      <c r="V18" s="9"/>
    </row>
    <row r="19" spans="2:22">
      <c r="B19" s="34">
        <f t="shared" si="0"/>
        <v>17</v>
      </c>
      <c r="C19" s="18"/>
      <c r="D19" s="23"/>
      <c r="E19" s="19"/>
      <c r="F19" s="24"/>
      <c r="G19" s="15"/>
      <c r="H19" s="44" t="s">
        <v>224</v>
      </c>
      <c r="I19" s="27"/>
      <c r="J19" s="27"/>
      <c r="K19" s="27"/>
      <c r="L19" s="27"/>
      <c r="M19" s="27"/>
      <c r="N19" s="27"/>
      <c r="O19" s="27"/>
      <c r="P19" s="27"/>
      <c r="Q19" s="27"/>
      <c r="R19" s="28"/>
      <c r="S19" s="45" t="s">
        <v>146</v>
      </c>
      <c r="T19" s="46" t="s">
        <v>147</v>
      </c>
      <c r="U19" s="29"/>
      <c r="V19" s="29"/>
    </row>
    <row r="20" spans="2:22">
      <c r="B20" s="34">
        <f t="shared" si="0"/>
        <v>18</v>
      </c>
      <c r="C20" s="18"/>
      <c r="D20" s="23"/>
      <c r="E20" s="19"/>
      <c r="F20" s="24"/>
      <c r="G20" s="15"/>
      <c r="H20" s="35" t="s">
        <v>225</v>
      </c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34" t="s">
        <v>143</v>
      </c>
      <c r="T20" s="36" t="s">
        <v>147</v>
      </c>
      <c r="U20" s="9"/>
      <c r="V20" s="9"/>
    </row>
    <row r="21" spans="2:22">
      <c r="B21" s="34">
        <f t="shared" si="0"/>
        <v>19</v>
      </c>
      <c r="C21" s="18"/>
      <c r="D21" s="23"/>
      <c r="E21" s="19"/>
      <c r="F21" s="24"/>
      <c r="G21" s="50" t="s">
        <v>153</v>
      </c>
      <c r="H21" s="35" t="s">
        <v>216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34" t="s">
        <v>143</v>
      </c>
      <c r="T21" s="36" t="s">
        <v>147</v>
      </c>
      <c r="U21" s="9"/>
      <c r="V21" s="9"/>
    </row>
    <row r="22" spans="2:22">
      <c r="B22" s="34">
        <f t="shared" si="0"/>
        <v>20</v>
      </c>
      <c r="C22" s="18"/>
      <c r="D22" s="23"/>
      <c r="E22" s="19"/>
      <c r="F22" s="24"/>
      <c r="G22" s="15"/>
      <c r="H22" s="44" t="s">
        <v>9</v>
      </c>
      <c r="I22" s="27"/>
      <c r="J22" s="27"/>
      <c r="K22" s="27"/>
      <c r="L22" s="27"/>
      <c r="M22" s="27"/>
      <c r="N22" s="27"/>
      <c r="O22" s="27"/>
      <c r="P22" s="27"/>
      <c r="Q22" s="27"/>
      <c r="R22" s="28"/>
      <c r="S22" s="45" t="s">
        <v>146</v>
      </c>
      <c r="T22" s="46" t="s">
        <v>147</v>
      </c>
      <c r="U22" s="29"/>
      <c r="V22" s="29"/>
    </row>
    <row r="23" spans="2:22">
      <c r="B23" s="34">
        <f t="shared" si="0"/>
        <v>21</v>
      </c>
      <c r="C23" s="18"/>
      <c r="D23" s="23"/>
      <c r="E23" s="19"/>
      <c r="F23" s="24"/>
      <c r="G23" s="15"/>
      <c r="H23" s="27"/>
      <c r="I23" s="35" t="s">
        <v>217</v>
      </c>
      <c r="J23" s="15"/>
      <c r="K23" s="15"/>
      <c r="L23" s="15"/>
      <c r="M23" s="15"/>
      <c r="N23" s="15"/>
      <c r="O23" s="15"/>
      <c r="P23" s="15"/>
      <c r="Q23" s="15"/>
      <c r="R23" s="16"/>
      <c r="S23" s="34" t="s">
        <v>150</v>
      </c>
      <c r="T23" s="36" t="s">
        <v>147</v>
      </c>
      <c r="U23" s="9"/>
      <c r="V23" s="9"/>
    </row>
    <row r="24" spans="2:22">
      <c r="B24" s="34">
        <f t="shared" si="0"/>
        <v>22</v>
      </c>
      <c r="C24" s="18"/>
      <c r="D24" s="23"/>
      <c r="E24" s="19"/>
      <c r="F24" s="24"/>
      <c r="G24" s="15"/>
      <c r="H24" s="27"/>
      <c r="I24" s="35" t="s">
        <v>218</v>
      </c>
      <c r="J24" s="15"/>
      <c r="K24" s="15"/>
      <c r="L24" s="15"/>
      <c r="M24" s="15"/>
      <c r="N24" s="15"/>
      <c r="O24" s="15"/>
      <c r="P24" s="15"/>
      <c r="Q24" s="15"/>
      <c r="R24" s="16"/>
      <c r="S24" s="34" t="s">
        <v>150</v>
      </c>
      <c r="T24" s="36" t="s">
        <v>147</v>
      </c>
      <c r="U24" s="9"/>
      <c r="V24" s="9"/>
    </row>
    <row r="25" spans="2:22">
      <c r="B25" s="34">
        <f t="shared" si="0"/>
        <v>23</v>
      </c>
      <c r="C25" s="18"/>
      <c r="D25" s="23"/>
      <c r="E25" s="19"/>
      <c r="F25" s="24"/>
      <c r="G25" s="15"/>
      <c r="H25" s="27"/>
      <c r="I25" s="35" t="s">
        <v>219</v>
      </c>
      <c r="J25" s="15"/>
      <c r="K25" s="15"/>
      <c r="L25" s="15"/>
      <c r="M25" s="15"/>
      <c r="N25" s="15"/>
      <c r="O25" s="15"/>
      <c r="P25" s="15"/>
      <c r="Q25" s="15"/>
      <c r="R25" s="16"/>
      <c r="S25" s="34" t="s">
        <v>162</v>
      </c>
      <c r="T25" s="36" t="s">
        <v>147</v>
      </c>
      <c r="U25" s="9"/>
      <c r="V25" s="9"/>
    </row>
    <row r="26" spans="2:22">
      <c r="B26" s="34">
        <f t="shared" si="0"/>
        <v>24</v>
      </c>
      <c r="C26" s="18"/>
      <c r="D26" s="23"/>
      <c r="E26" s="19"/>
      <c r="F26" s="24"/>
      <c r="G26" s="15"/>
      <c r="H26" s="27"/>
      <c r="I26" s="35" t="s">
        <v>220</v>
      </c>
      <c r="J26" s="15"/>
      <c r="K26" s="15"/>
      <c r="L26" s="15"/>
      <c r="M26" s="15"/>
      <c r="N26" s="15"/>
      <c r="O26" s="15"/>
      <c r="P26" s="15"/>
      <c r="Q26" s="15"/>
      <c r="R26" s="16"/>
      <c r="S26" s="34" t="s">
        <v>143</v>
      </c>
      <c r="T26" s="36" t="s">
        <v>147</v>
      </c>
      <c r="U26" s="9"/>
      <c r="V26" s="9"/>
    </row>
    <row r="27" spans="2:22">
      <c r="B27" s="34">
        <f t="shared" si="0"/>
        <v>25</v>
      </c>
      <c r="C27" s="18"/>
      <c r="D27" s="23"/>
      <c r="E27" s="19"/>
      <c r="F27" s="24"/>
      <c r="G27" s="15"/>
      <c r="H27" s="27"/>
      <c r="I27" s="35" t="s">
        <v>221</v>
      </c>
      <c r="J27" s="15"/>
      <c r="K27" s="15"/>
      <c r="L27" s="15"/>
      <c r="M27" s="15"/>
      <c r="N27" s="15"/>
      <c r="O27" s="15"/>
      <c r="P27" s="15"/>
      <c r="Q27" s="15"/>
      <c r="R27" s="16"/>
      <c r="S27" s="34" t="s">
        <v>143</v>
      </c>
      <c r="T27" s="36" t="s">
        <v>147</v>
      </c>
      <c r="U27" s="9"/>
      <c r="V27" s="9"/>
    </row>
    <row r="28" spans="2:22">
      <c r="B28" s="34">
        <f t="shared" si="0"/>
        <v>26</v>
      </c>
      <c r="C28" s="18"/>
      <c r="D28" s="23"/>
      <c r="E28" s="19"/>
      <c r="F28" s="24"/>
      <c r="G28" s="15"/>
      <c r="H28" s="27"/>
      <c r="I28" s="35" t="s">
        <v>222</v>
      </c>
      <c r="J28" s="15"/>
      <c r="K28" s="15"/>
      <c r="L28" s="15"/>
      <c r="M28" s="15"/>
      <c r="N28" s="15"/>
      <c r="O28" s="15"/>
      <c r="P28" s="15"/>
      <c r="Q28" s="15"/>
      <c r="R28" s="16"/>
      <c r="S28" s="34" t="s">
        <v>162</v>
      </c>
      <c r="T28" s="36" t="s">
        <v>147</v>
      </c>
      <c r="U28" s="9"/>
      <c r="V28" s="9"/>
    </row>
    <row r="29" spans="2:22">
      <c r="B29" s="34">
        <f t="shared" si="0"/>
        <v>27</v>
      </c>
      <c r="C29" s="18"/>
      <c r="D29" s="23"/>
      <c r="E29" s="19"/>
      <c r="F29" s="24"/>
      <c r="G29" s="15"/>
      <c r="H29" s="27"/>
      <c r="I29" s="35" t="s">
        <v>223</v>
      </c>
      <c r="J29" s="15"/>
      <c r="K29" s="15"/>
      <c r="L29" s="15"/>
      <c r="M29" s="15"/>
      <c r="N29" s="15"/>
      <c r="O29" s="15"/>
      <c r="P29" s="15"/>
      <c r="Q29" s="15"/>
      <c r="R29" s="16"/>
      <c r="S29" s="34" t="s">
        <v>143</v>
      </c>
      <c r="T29" s="36" t="s">
        <v>147</v>
      </c>
      <c r="U29" s="9"/>
      <c r="V29" s="9"/>
    </row>
    <row r="30" spans="2:22">
      <c r="B30" s="34">
        <f t="shared" si="0"/>
        <v>28</v>
      </c>
      <c r="C30" s="18"/>
      <c r="D30" s="23"/>
      <c r="E30" s="19"/>
      <c r="F30" s="24"/>
      <c r="G30" s="15"/>
      <c r="H30" s="44" t="s">
        <v>224</v>
      </c>
      <c r="I30" s="27"/>
      <c r="J30" s="27"/>
      <c r="K30" s="27"/>
      <c r="L30" s="27"/>
      <c r="M30" s="27"/>
      <c r="N30" s="27"/>
      <c r="O30" s="27"/>
      <c r="P30" s="27"/>
      <c r="Q30" s="27"/>
      <c r="R30" s="28"/>
      <c r="S30" s="45" t="s">
        <v>146</v>
      </c>
      <c r="T30" s="46" t="s">
        <v>147</v>
      </c>
      <c r="U30" s="29"/>
      <c r="V30" s="29"/>
    </row>
    <row r="31" spans="2:22">
      <c r="B31" s="34">
        <f t="shared" si="0"/>
        <v>29</v>
      </c>
      <c r="C31" s="18"/>
      <c r="D31" s="23"/>
      <c r="E31" s="19"/>
      <c r="F31" s="24"/>
      <c r="G31" s="15"/>
      <c r="H31" s="35" t="s">
        <v>225</v>
      </c>
      <c r="I31" s="15"/>
      <c r="J31" s="15"/>
      <c r="K31" s="15"/>
      <c r="L31" s="15"/>
      <c r="M31" s="15"/>
      <c r="N31" s="15"/>
      <c r="O31" s="15"/>
      <c r="P31" s="15"/>
      <c r="Q31" s="15"/>
      <c r="R31" s="16"/>
      <c r="S31" s="34" t="s">
        <v>143</v>
      </c>
      <c r="T31" s="36" t="s">
        <v>147</v>
      </c>
      <c r="U31" s="9"/>
      <c r="V31" s="9"/>
    </row>
    <row r="32" spans="2:22">
      <c r="B32" s="34">
        <f t="shared" si="0"/>
        <v>30</v>
      </c>
      <c r="C32" s="18"/>
      <c r="D32" s="23"/>
      <c r="E32" s="19"/>
      <c r="F32" s="40" t="s">
        <v>19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5"/>
      <c r="S32" s="41" t="s">
        <v>146</v>
      </c>
      <c r="T32" s="42" t="s">
        <v>147</v>
      </c>
      <c r="U32" s="26"/>
      <c r="V32" s="26"/>
    </row>
    <row r="33" spans="2:22">
      <c r="B33" s="34">
        <f t="shared" si="0"/>
        <v>31</v>
      </c>
      <c r="C33" s="18"/>
      <c r="D33" s="23"/>
      <c r="E33" s="19"/>
      <c r="F33" s="24"/>
      <c r="G33" s="35" t="s">
        <v>226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6"/>
      <c r="S33" s="34" t="s">
        <v>162</v>
      </c>
      <c r="T33" s="36" t="s">
        <v>147</v>
      </c>
      <c r="U33" s="9"/>
      <c r="V33" s="9"/>
    </row>
    <row r="34" spans="2:22">
      <c r="B34" s="34">
        <f t="shared" si="0"/>
        <v>32</v>
      </c>
      <c r="C34" s="18"/>
      <c r="D34" s="23"/>
      <c r="E34" s="19"/>
      <c r="F34" s="24"/>
      <c r="G34" s="35" t="s">
        <v>227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6"/>
      <c r="S34" s="34" t="s">
        <v>162</v>
      </c>
      <c r="T34" s="36" t="s">
        <v>147</v>
      </c>
      <c r="U34" s="9"/>
      <c r="V34" s="9"/>
    </row>
    <row r="35" spans="2:22">
      <c r="B35" s="34">
        <f t="shared" ref="B35:B66" si="1">ROW()-2</f>
        <v>33</v>
      </c>
      <c r="C35" s="18"/>
      <c r="D35" s="23"/>
      <c r="E35" s="19"/>
      <c r="F35" s="40" t="s">
        <v>21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5"/>
      <c r="S35" s="41" t="s">
        <v>146</v>
      </c>
      <c r="T35" s="42" t="s">
        <v>147</v>
      </c>
      <c r="U35" s="26"/>
      <c r="V35" s="26"/>
    </row>
    <row r="36" spans="2:22">
      <c r="B36" s="34">
        <f t="shared" si="1"/>
        <v>34</v>
      </c>
      <c r="C36" s="18"/>
      <c r="D36" s="23"/>
      <c r="E36" s="19"/>
      <c r="F36" s="24"/>
      <c r="G36" s="35" t="s">
        <v>228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6"/>
      <c r="S36" s="34" t="s">
        <v>143</v>
      </c>
      <c r="T36" s="36" t="s">
        <v>147</v>
      </c>
      <c r="U36" s="9"/>
      <c r="V36" s="9"/>
    </row>
    <row r="37" spans="2:22">
      <c r="B37" s="34">
        <f t="shared" si="1"/>
        <v>35</v>
      </c>
      <c r="C37" s="18"/>
      <c r="D37" s="23"/>
      <c r="E37" s="19"/>
      <c r="F37" s="35" t="s">
        <v>229</v>
      </c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6"/>
      <c r="S37" s="34" t="s">
        <v>150</v>
      </c>
      <c r="T37" s="36" t="s">
        <v>147</v>
      </c>
      <c r="U37" s="9"/>
      <c r="V37" s="9"/>
    </row>
    <row r="38" spans="2:22">
      <c r="B38" s="34">
        <f t="shared" si="1"/>
        <v>36</v>
      </c>
      <c r="C38" s="18"/>
      <c r="D38" s="23"/>
      <c r="E38" s="19"/>
      <c r="F38" s="35" t="s">
        <v>230</v>
      </c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6"/>
      <c r="S38" s="34" t="s">
        <v>150</v>
      </c>
      <c r="T38" s="36" t="s">
        <v>147</v>
      </c>
      <c r="U38" s="9"/>
      <c r="V38" s="9"/>
    </row>
    <row r="39" spans="2:22">
      <c r="B39" s="34">
        <f t="shared" si="1"/>
        <v>37</v>
      </c>
      <c r="C39" s="18"/>
      <c r="D39" s="23"/>
      <c r="E39" s="19"/>
      <c r="F39" s="40" t="s">
        <v>25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5"/>
      <c r="S39" s="41" t="s">
        <v>146</v>
      </c>
      <c r="T39" s="42" t="s">
        <v>147</v>
      </c>
      <c r="U39" s="26"/>
      <c r="V39" s="26"/>
    </row>
    <row r="40" spans="2:22">
      <c r="B40" s="34">
        <f t="shared" si="1"/>
        <v>38</v>
      </c>
      <c r="C40" s="18"/>
      <c r="D40" s="23"/>
      <c r="E40" s="19"/>
      <c r="F40" s="24"/>
      <c r="G40" s="50" t="s">
        <v>153</v>
      </c>
      <c r="H40" s="35" t="s">
        <v>203</v>
      </c>
      <c r="I40" s="15"/>
      <c r="J40" s="15"/>
      <c r="K40" s="15"/>
      <c r="L40" s="15"/>
      <c r="M40" s="15"/>
      <c r="N40" s="15"/>
      <c r="O40" s="15"/>
      <c r="P40" s="15"/>
      <c r="Q40" s="15"/>
      <c r="R40" s="16"/>
      <c r="S40" s="34" t="s">
        <v>143</v>
      </c>
      <c r="T40" s="36" t="s">
        <v>147</v>
      </c>
      <c r="U40" s="9"/>
      <c r="V40" s="9"/>
    </row>
    <row r="41" spans="2:22">
      <c r="B41" s="34">
        <f t="shared" si="1"/>
        <v>39</v>
      </c>
      <c r="C41" s="18"/>
      <c r="D41" s="23"/>
      <c r="E41" s="19"/>
      <c r="F41" s="24"/>
      <c r="G41" s="50" t="s">
        <v>153</v>
      </c>
      <c r="H41" s="35" t="s">
        <v>203</v>
      </c>
      <c r="I41" s="15"/>
      <c r="J41" s="15"/>
      <c r="K41" s="15"/>
      <c r="L41" s="15"/>
      <c r="M41" s="15"/>
      <c r="N41" s="15"/>
      <c r="O41" s="15"/>
      <c r="P41" s="15"/>
      <c r="Q41" s="15"/>
      <c r="R41" s="16"/>
      <c r="S41" s="34" t="s">
        <v>143</v>
      </c>
      <c r="T41" s="36" t="s">
        <v>147</v>
      </c>
      <c r="U41" s="9"/>
      <c r="V41" s="9"/>
    </row>
    <row r="42" spans="2:22">
      <c r="B42" s="34">
        <f t="shared" si="1"/>
        <v>40</v>
      </c>
      <c r="C42" s="18"/>
      <c r="D42" s="23"/>
      <c r="E42" s="19"/>
      <c r="F42" s="40" t="s">
        <v>27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5"/>
      <c r="S42" s="41" t="s">
        <v>146</v>
      </c>
      <c r="T42" s="42" t="s">
        <v>147</v>
      </c>
      <c r="U42" s="26"/>
      <c r="V42" s="26"/>
    </row>
    <row r="43" spans="2:22">
      <c r="B43" s="34">
        <f t="shared" si="1"/>
        <v>41</v>
      </c>
      <c r="C43" s="18"/>
      <c r="D43" s="23"/>
      <c r="E43" s="19"/>
      <c r="F43" s="24"/>
      <c r="G43" s="50" t="s">
        <v>153</v>
      </c>
      <c r="H43" s="35" t="s">
        <v>231</v>
      </c>
      <c r="I43" s="15"/>
      <c r="J43" s="15"/>
      <c r="K43" s="15"/>
      <c r="L43" s="15"/>
      <c r="M43" s="15"/>
      <c r="N43" s="15"/>
      <c r="O43" s="15"/>
      <c r="P43" s="15"/>
      <c r="Q43" s="15"/>
      <c r="R43" s="16"/>
      <c r="S43" s="34" t="s">
        <v>162</v>
      </c>
      <c r="T43" s="36" t="s">
        <v>147</v>
      </c>
      <c r="U43" s="9"/>
      <c r="V43" s="9"/>
    </row>
    <row r="44" spans="2:22">
      <c r="B44" s="34">
        <f t="shared" si="1"/>
        <v>42</v>
      </c>
      <c r="C44" s="18"/>
      <c r="D44" s="23"/>
      <c r="E44" s="19"/>
      <c r="F44" s="24"/>
      <c r="G44" s="15"/>
      <c r="H44" s="35" t="s">
        <v>203</v>
      </c>
      <c r="I44" s="15"/>
      <c r="J44" s="15"/>
      <c r="K44" s="15"/>
      <c r="L44" s="15"/>
      <c r="M44" s="15"/>
      <c r="N44" s="15"/>
      <c r="O44" s="15"/>
      <c r="P44" s="15"/>
      <c r="Q44" s="15"/>
      <c r="R44" s="16"/>
      <c r="S44" s="34" t="s">
        <v>143</v>
      </c>
      <c r="T44" s="36" t="s">
        <v>147</v>
      </c>
      <c r="U44" s="9"/>
      <c r="V44" s="9"/>
    </row>
    <row r="45" spans="2:22">
      <c r="B45" s="34">
        <f t="shared" si="1"/>
        <v>43</v>
      </c>
      <c r="C45" s="18"/>
      <c r="D45" s="23"/>
      <c r="E45" s="19"/>
      <c r="F45" s="24"/>
      <c r="G45" s="50" t="s">
        <v>153</v>
      </c>
      <c r="H45" s="35" t="s">
        <v>231</v>
      </c>
      <c r="I45" s="15"/>
      <c r="J45" s="15"/>
      <c r="K45" s="15"/>
      <c r="L45" s="15"/>
      <c r="M45" s="15"/>
      <c r="N45" s="15"/>
      <c r="O45" s="15"/>
      <c r="P45" s="15"/>
      <c r="Q45" s="15"/>
      <c r="R45" s="16"/>
      <c r="S45" s="34" t="s">
        <v>162</v>
      </c>
      <c r="T45" s="36" t="s">
        <v>147</v>
      </c>
      <c r="U45" s="9"/>
      <c r="V45" s="9"/>
    </row>
    <row r="46" spans="2:22">
      <c r="B46" s="34">
        <f t="shared" si="1"/>
        <v>44</v>
      </c>
      <c r="C46" s="18"/>
      <c r="D46" s="23"/>
      <c r="E46" s="19"/>
      <c r="F46" s="24"/>
      <c r="G46" s="15"/>
      <c r="H46" s="35" t="s">
        <v>203</v>
      </c>
      <c r="I46" s="15"/>
      <c r="J46" s="15"/>
      <c r="K46" s="15"/>
      <c r="L46" s="15"/>
      <c r="M46" s="15"/>
      <c r="N46" s="15"/>
      <c r="O46" s="15"/>
      <c r="P46" s="15"/>
      <c r="Q46" s="15"/>
      <c r="R46" s="16"/>
      <c r="S46" s="34" t="s">
        <v>143</v>
      </c>
      <c r="T46" s="36" t="s">
        <v>147</v>
      </c>
      <c r="U46" s="9"/>
      <c r="V46" s="9"/>
    </row>
    <row r="47" spans="2:22">
      <c r="B47" s="34">
        <f t="shared" si="1"/>
        <v>45</v>
      </c>
      <c r="C47" s="18"/>
      <c r="D47" s="23"/>
      <c r="E47" s="19"/>
      <c r="F47" s="40" t="s">
        <v>334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5"/>
      <c r="S47" s="41" t="s">
        <v>146</v>
      </c>
      <c r="T47" s="42" t="s">
        <v>147</v>
      </c>
      <c r="U47" s="26"/>
      <c r="V47" s="26"/>
    </row>
    <row r="48" spans="2:22">
      <c r="B48" s="34">
        <f t="shared" si="1"/>
        <v>46</v>
      </c>
      <c r="C48" s="18"/>
      <c r="D48" s="23"/>
      <c r="E48" s="19"/>
      <c r="F48" s="24"/>
      <c r="G48" s="35" t="s">
        <v>335</v>
      </c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6"/>
      <c r="S48" s="34" t="s">
        <v>150</v>
      </c>
      <c r="T48" s="36" t="s">
        <v>147</v>
      </c>
      <c r="U48" s="9"/>
      <c r="V48" s="9"/>
    </row>
    <row r="49" spans="2:22">
      <c r="B49" s="34">
        <f t="shared" si="1"/>
        <v>47</v>
      </c>
      <c r="C49" s="18"/>
      <c r="D49" s="23"/>
      <c r="E49" s="19"/>
      <c r="F49" s="40" t="s">
        <v>29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5"/>
      <c r="S49" s="41" t="s">
        <v>146</v>
      </c>
      <c r="T49" s="42" t="s">
        <v>147</v>
      </c>
      <c r="U49" s="26"/>
      <c r="V49" s="26"/>
    </row>
    <row r="50" spans="2:22">
      <c r="B50" s="34">
        <f t="shared" si="1"/>
        <v>48</v>
      </c>
      <c r="C50" s="18"/>
      <c r="D50" s="23"/>
      <c r="E50" s="19"/>
      <c r="F50" s="24"/>
      <c r="G50" s="35" t="s">
        <v>232</v>
      </c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6"/>
      <c r="S50" s="34" t="s">
        <v>150</v>
      </c>
      <c r="T50" s="36" t="s">
        <v>147</v>
      </c>
      <c r="U50" s="9"/>
      <c r="V50" s="9"/>
    </row>
    <row r="51" spans="2:22">
      <c r="B51" s="34">
        <f t="shared" si="1"/>
        <v>49</v>
      </c>
      <c r="C51" s="18"/>
      <c r="D51" s="23"/>
      <c r="E51" s="19"/>
      <c r="F51" s="35" t="s">
        <v>233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6"/>
      <c r="S51" s="34" t="s">
        <v>143</v>
      </c>
      <c r="T51" s="36" t="s">
        <v>147</v>
      </c>
      <c r="U51" s="9"/>
      <c r="V51" s="9"/>
    </row>
    <row r="52" spans="2:22">
      <c r="B52" s="34">
        <f t="shared" si="1"/>
        <v>50</v>
      </c>
      <c r="C52" s="18"/>
      <c r="D52" s="23"/>
      <c r="E52" s="19"/>
      <c r="F52" s="35" t="s">
        <v>234</v>
      </c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6"/>
      <c r="S52" s="34" t="s">
        <v>143</v>
      </c>
      <c r="T52" s="36" t="s">
        <v>147</v>
      </c>
      <c r="U52" s="9"/>
      <c r="V52" s="9"/>
    </row>
    <row r="53" spans="2:22">
      <c r="B53" s="34">
        <f t="shared" si="1"/>
        <v>51</v>
      </c>
      <c r="C53" s="18"/>
      <c r="D53" s="23"/>
      <c r="E53" s="19"/>
      <c r="F53" s="35" t="s">
        <v>235</v>
      </c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6"/>
      <c r="S53" s="34" t="s">
        <v>143</v>
      </c>
      <c r="T53" s="36" t="s">
        <v>147</v>
      </c>
      <c r="U53" s="9"/>
      <c r="V53" s="9"/>
    </row>
    <row r="54" spans="2:22">
      <c r="B54" s="34">
        <f t="shared" si="1"/>
        <v>52</v>
      </c>
      <c r="C54" s="18"/>
      <c r="D54" s="23"/>
      <c r="E54" s="19"/>
      <c r="F54" s="35" t="s">
        <v>236</v>
      </c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6"/>
      <c r="S54" s="34" t="s">
        <v>143</v>
      </c>
      <c r="T54" s="36" t="s">
        <v>147</v>
      </c>
      <c r="U54" s="9"/>
      <c r="V54" s="9"/>
    </row>
    <row r="55" spans="2:22">
      <c r="B55" s="34">
        <f t="shared" si="1"/>
        <v>53</v>
      </c>
      <c r="C55" s="18"/>
      <c r="D55" s="23"/>
      <c r="E55" s="19"/>
      <c r="F55" s="35" t="s">
        <v>237</v>
      </c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6"/>
      <c r="S55" s="34" t="s">
        <v>143</v>
      </c>
      <c r="T55" s="36" t="s">
        <v>147</v>
      </c>
      <c r="U55" s="9"/>
      <c r="V55" s="9"/>
    </row>
    <row r="56" spans="2:22">
      <c r="B56" s="34">
        <f t="shared" si="1"/>
        <v>54</v>
      </c>
      <c r="C56" s="18"/>
      <c r="D56" s="23"/>
      <c r="E56" s="19"/>
      <c r="F56" s="35" t="s">
        <v>238</v>
      </c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6"/>
      <c r="S56" s="34" t="s">
        <v>143</v>
      </c>
      <c r="T56" s="36" t="s">
        <v>147</v>
      </c>
      <c r="U56" s="9"/>
      <c r="V56" s="9"/>
    </row>
    <row r="57" spans="2:22">
      <c r="B57" s="34">
        <f t="shared" si="1"/>
        <v>55</v>
      </c>
      <c r="C57" s="18"/>
      <c r="D57" s="23"/>
      <c r="E57" s="19"/>
      <c r="F57" s="35" t="s">
        <v>239</v>
      </c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6"/>
      <c r="S57" s="34" t="s">
        <v>162</v>
      </c>
      <c r="T57" s="36" t="s">
        <v>147</v>
      </c>
      <c r="U57" s="9"/>
      <c r="V57" s="9"/>
    </row>
    <row r="58" spans="2:22">
      <c r="B58" s="34">
        <f t="shared" si="1"/>
        <v>56</v>
      </c>
      <c r="C58" s="18"/>
      <c r="D58" s="23"/>
      <c r="E58" s="19"/>
      <c r="F58" s="40" t="s">
        <v>38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5"/>
      <c r="S58" s="41" t="s">
        <v>146</v>
      </c>
      <c r="T58" s="42" t="s">
        <v>147</v>
      </c>
      <c r="U58" s="26"/>
      <c r="V58" s="26"/>
    </row>
    <row r="59" spans="2:22">
      <c r="B59" s="34">
        <f t="shared" si="1"/>
        <v>57</v>
      </c>
      <c r="C59" s="18"/>
      <c r="D59" s="23"/>
      <c r="E59" s="19"/>
      <c r="F59" s="24"/>
      <c r="G59" s="50" t="s">
        <v>153</v>
      </c>
      <c r="H59" s="35" t="s">
        <v>240</v>
      </c>
      <c r="I59" s="15"/>
      <c r="J59" s="15"/>
      <c r="K59" s="15"/>
      <c r="L59" s="15"/>
      <c r="M59" s="15"/>
      <c r="N59" s="15"/>
      <c r="O59" s="15"/>
      <c r="P59" s="15"/>
      <c r="Q59" s="15"/>
      <c r="R59" s="16"/>
      <c r="S59" s="34" t="s">
        <v>143</v>
      </c>
      <c r="T59" s="36" t="s">
        <v>147</v>
      </c>
      <c r="U59" s="9"/>
      <c r="V59" s="9"/>
    </row>
    <row r="60" spans="2:22">
      <c r="B60" s="34">
        <f t="shared" si="1"/>
        <v>58</v>
      </c>
      <c r="C60" s="18"/>
      <c r="D60" s="23"/>
      <c r="E60" s="19"/>
      <c r="F60" s="24"/>
      <c r="G60" s="50" t="s">
        <v>153</v>
      </c>
      <c r="H60" s="35" t="s">
        <v>240</v>
      </c>
      <c r="I60" s="15"/>
      <c r="J60" s="15"/>
      <c r="K60" s="15"/>
      <c r="L60" s="15"/>
      <c r="M60" s="15"/>
      <c r="N60" s="15"/>
      <c r="O60" s="15"/>
      <c r="P60" s="15"/>
      <c r="Q60" s="15"/>
      <c r="R60" s="16"/>
      <c r="S60" s="34" t="s">
        <v>143</v>
      </c>
      <c r="T60" s="36" t="s">
        <v>147</v>
      </c>
      <c r="U60" s="9"/>
      <c r="V60" s="9"/>
    </row>
    <row r="61" spans="2:22">
      <c r="B61" s="34">
        <f t="shared" si="1"/>
        <v>59</v>
      </c>
      <c r="C61" s="18"/>
      <c r="D61" s="23"/>
      <c r="E61" s="19"/>
      <c r="F61" s="35" t="s">
        <v>241</v>
      </c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6"/>
      <c r="S61" s="34" t="s">
        <v>143</v>
      </c>
      <c r="T61" s="36" t="s">
        <v>147</v>
      </c>
      <c r="U61" s="9"/>
      <c r="V61" s="9"/>
    </row>
    <row r="62" spans="2:22">
      <c r="B62" s="34">
        <f t="shared" si="1"/>
        <v>60</v>
      </c>
      <c r="C62" s="18"/>
      <c r="D62" s="23"/>
      <c r="E62" s="19"/>
      <c r="F62" s="35" t="s">
        <v>242</v>
      </c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6"/>
      <c r="S62" s="34" t="s">
        <v>143</v>
      </c>
      <c r="T62" s="36" t="s">
        <v>147</v>
      </c>
      <c r="U62" s="9"/>
      <c r="V62" s="9"/>
    </row>
    <row r="63" spans="2:22">
      <c r="B63" s="34">
        <f t="shared" si="1"/>
        <v>61</v>
      </c>
      <c r="C63" s="18"/>
      <c r="D63" s="23"/>
      <c r="E63" s="19"/>
      <c r="F63" s="40" t="s">
        <v>42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5"/>
      <c r="S63" s="41" t="s">
        <v>146</v>
      </c>
      <c r="T63" s="42" t="s">
        <v>147</v>
      </c>
      <c r="U63" s="26"/>
      <c r="V63" s="26"/>
    </row>
    <row r="64" spans="2:22">
      <c r="B64" s="34">
        <f t="shared" si="1"/>
        <v>62</v>
      </c>
      <c r="C64" s="18"/>
      <c r="D64" s="23"/>
      <c r="E64" s="19"/>
      <c r="F64" s="24"/>
      <c r="G64" s="35" t="s">
        <v>243</v>
      </c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6"/>
      <c r="S64" s="34" t="s">
        <v>143</v>
      </c>
      <c r="T64" s="36" t="s">
        <v>147</v>
      </c>
      <c r="U64" s="9"/>
      <c r="V64" s="9"/>
    </row>
    <row r="65" spans="2:22">
      <c r="B65" s="34">
        <f t="shared" si="1"/>
        <v>63</v>
      </c>
      <c r="C65" s="18"/>
      <c r="D65" s="23"/>
      <c r="E65" s="19"/>
      <c r="F65" s="24"/>
      <c r="G65" s="35" t="s">
        <v>244</v>
      </c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6"/>
      <c r="S65" s="34" t="s">
        <v>143</v>
      </c>
      <c r="T65" s="36" t="s">
        <v>147</v>
      </c>
      <c r="U65" s="9"/>
      <c r="V65" s="9"/>
    </row>
    <row r="66" spans="2:22">
      <c r="B66" s="34">
        <f t="shared" si="1"/>
        <v>64</v>
      </c>
      <c r="C66" s="18"/>
      <c r="D66" s="23"/>
      <c r="E66" s="19"/>
      <c r="F66" s="24"/>
      <c r="G66" s="35" t="s">
        <v>245</v>
      </c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6"/>
      <c r="S66" s="34" t="s">
        <v>143</v>
      </c>
      <c r="T66" s="36" t="s">
        <v>147</v>
      </c>
      <c r="U66" s="9"/>
      <c r="V66" s="9"/>
    </row>
    <row r="67" spans="2:22">
      <c r="B67" s="34">
        <f t="shared" ref="B67:B98" si="2">ROW()-2</f>
        <v>65</v>
      </c>
      <c r="C67" s="18"/>
      <c r="D67" s="23"/>
      <c r="E67" s="19"/>
      <c r="F67" s="40" t="s">
        <v>46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5"/>
      <c r="S67" s="41" t="s">
        <v>146</v>
      </c>
      <c r="T67" s="42" t="s">
        <v>147</v>
      </c>
      <c r="U67" s="26"/>
      <c r="V67" s="26"/>
    </row>
    <row r="68" spans="2:22">
      <c r="B68" s="34">
        <f t="shared" si="2"/>
        <v>66</v>
      </c>
      <c r="C68" s="18"/>
      <c r="D68" s="23"/>
      <c r="E68" s="19"/>
      <c r="F68" s="24"/>
      <c r="G68" s="50" t="s">
        <v>153</v>
      </c>
      <c r="H68" s="35" t="s">
        <v>246</v>
      </c>
      <c r="I68" s="15"/>
      <c r="J68" s="15"/>
      <c r="K68" s="15"/>
      <c r="L68" s="15"/>
      <c r="M68" s="15"/>
      <c r="N68" s="15"/>
      <c r="O68" s="15"/>
      <c r="P68" s="15"/>
      <c r="Q68" s="15"/>
      <c r="R68" s="16"/>
      <c r="S68" s="34" t="s">
        <v>143</v>
      </c>
      <c r="T68" s="36" t="s">
        <v>147</v>
      </c>
      <c r="U68" s="9"/>
      <c r="V68" s="9"/>
    </row>
    <row r="69" spans="2:22">
      <c r="B69" s="34">
        <f t="shared" si="2"/>
        <v>67</v>
      </c>
      <c r="C69" s="18"/>
      <c r="D69" s="23"/>
      <c r="E69" s="19"/>
      <c r="F69" s="24"/>
      <c r="G69" s="50" t="s">
        <v>153</v>
      </c>
      <c r="H69" s="35" t="s">
        <v>246</v>
      </c>
      <c r="I69" s="15"/>
      <c r="J69" s="15"/>
      <c r="K69" s="15"/>
      <c r="L69" s="15"/>
      <c r="M69" s="15"/>
      <c r="N69" s="15"/>
      <c r="O69" s="15"/>
      <c r="P69" s="15"/>
      <c r="Q69" s="15"/>
      <c r="R69" s="16"/>
      <c r="S69" s="34" t="s">
        <v>143</v>
      </c>
      <c r="T69" s="36" t="s">
        <v>147</v>
      </c>
      <c r="U69" s="9"/>
      <c r="V69" s="9"/>
    </row>
    <row r="70" spans="2:22">
      <c r="B70" s="34">
        <f t="shared" si="2"/>
        <v>68</v>
      </c>
      <c r="C70" s="18"/>
      <c r="D70" s="23"/>
      <c r="E70" s="19"/>
      <c r="F70" s="35" t="s">
        <v>247</v>
      </c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6"/>
      <c r="S70" s="34" t="s">
        <v>150</v>
      </c>
      <c r="T70" s="36" t="s">
        <v>147</v>
      </c>
      <c r="U70" s="9"/>
      <c r="V70" s="9"/>
    </row>
    <row r="71" spans="2:22">
      <c r="B71" s="34">
        <f t="shared" si="2"/>
        <v>69</v>
      </c>
      <c r="C71" s="18"/>
      <c r="D71" s="23"/>
      <c r="E71" s="19"/>
      <c r="F71" s="40" t="s">
        <v>49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5"/>
      <c r="S71" s="41" t="s">
        <v>146</v>
      </c>
      <c r="T71" s="42" t="s">
        <v>147</v>
      </c>
      <c r="U71" s="26"/>
      <c r="V71" s="26"/>
    </row>
    <row r="72" spans="2:22">
      <c r="B72" s="34">
        <f t="shared" si="2"/>
        <v>70</v>
      </c>
      <c r="C72" s="18"/>
      <c r="D72" s="23"/>
      <c r="E72" s="19"/>
      <c r="F72" s="24"/>
      <c r="G72" s="50" t="s">
        <v>153</v>
      </c>
      <c r="H72" s="35" t="s">
        <v>248</v>
      </c>
      <c r="I72" s="15"/>
      <c r="J72" s="15"/>
      <c r="K72" s="15"/>
      <c r="L72" s="15"/>
      <c r="M72" s="15"/>
      <c r="N72" s="15"/>
      <c r="O72" s="15"/>
      <c r="P72" s="15"/>
      <c r="Q72" s="15"/>
      <c r="R72" s="16"/>
      <c r="S72" s="34" t="s">
        <v>150</v>
      </c>
      <c r="T72" s="36" t="s">
        <v>147</v>
      </c>
      <c r="U72" s="9"/>
      <c r="V72" s="9"/>
    </row>
    <row r="73" spans="2:22">
      <c r="B73" s="34">
        <f t="shared" si="2"/>
        <v>71</v>
      </c>
      <c r="C73" s="18"/>
      <c r="D73" s="23"/>
      <c r="E73" s="19"/>
      <c r="F73" s="24"/>
      <c r="G73" s="15"/>
      <c r="H73" s="35" t="s">
        <v>217</v>
      </c>
      <c r="I73" s="15"/>
      <c r="J73" s="15"/>
      <c r="K73" s="15"/>
      <c r="L73" s="15"/>
      <c r="M73" s="15"/>
      <c r="N73" s="15"/>
      <c r="O73" s="15"/>
      <c r="P73" s="15"/>
      <c r="Q73" s="15"/>
      <c r="R73" s="16"/>
      <c r="S73" s="34" t="s">
        <v>150</v>
      </c>
      <c r="T73" s="36" t="s">
        <v>147</v>
      </c>
      <c r="U73" s="9"/>
      <c r="V73" s="9"/>
    </row>
    <row r="74" spans="2:22">
      <c r="B74" s="34">
        <f t="shared" si="2"/>
        <v>72</v>
      </c>
      <c r="C74" s="18"/>
      <c r="D74" s="23"/>
      <c r="E74" s="19"/>
      <c r="F74" s="24"/>
      <c r="G74" s="15"/>
      <c r="H74" s="35" t="s">
        <v>187</v>
      </c>
      <c r="I74" s="15"/>
      <c r="J74" s="15"/>
      <c r="K74" s="15"/>
      <c r="L74" s="15"/>
      <c r="M74" s="15"/>
      <c r="N74" s="15"/>
      <c r="O74" s="15"/>
      <c r="P74" s="15"/>
      <c r="Q74" s="15"/>
      <c r="R74" s="16"/>
      <c r="S74" s="34" t="s">
        <v>143</v>
      </c>
      <c r="T74" s="36" t="s">
        <v>147</v>
      </c>
      <c r="U74" s="9"/>
      <c r="V74" s="9"/>
    </row>
    <row r="75" spans="2:22">
      <c r="B75" s="34">
        <f t="shared" si="2"/>
        <v>73</v>
      </c>
      <c r="C75" s="18"/>
      <c r="D75" s="23"/>
      <c r="E75" s="19"/>
      <c r="F75" s="24"/>
      <c r="G75" s="15"/>
      <c r="H75" s="35" t="s">
        <v>249</v>
      </c>
      <c r="I75" s="15"/>
      <c r="J75" s="15"/>
      <c r="K75" s="15"/>
      <c r="L75" s="15"/>
      <c r="M75" s="15"/>
      <c r="N75" s="15"/>
      <c r="O75" s="15"/>
      <c r="P75" s="15"/>
      <c r="Q75" s="15"/>
      <c r="R75" s="16"/>
      <c r="S75" s="34" t="s">
        <v>143</v>
      </c>
      <c r="T75" s="36" t="s">
        <v>147</v>
      </c>
      <c r="U75" s="9"/>
      <c r="V75" s="9"/>
    </row>
    <row r="76" spans="2:22">
      <c r="B76" s="34">
        <f t="shared" si="2"/>
        <v>74</v>
      </c>
      <c r="C76" s="18"/>
      <c r="D76" s="23"/>
      <c r="E76" s="19"/>
      <c r="F76" s="24"/>
      <c r="G76" s="15"/>
      <c r="H76" s="44" t="s">
        <v>53</v>
      </c>
      <c r="I76" s="27"/>
      <c r="J76" s="27"/>
      <c r="K76" s="27"/>
      <c r="L76" s="27"/>
      <c r="M76" s="27"/>
      <c r="N76" s="27"/>
      <c r="O76" s="27"/>
      <c r="P76" s="27"/>
      <c r="Q76" s="27"/>
      <c r="R76" s="28"/>
      <c r="S76" s="45" t="s">
        <v>146</v>
      </c>
      <c r="T76" s="46" t="s">
        <v>147</v>
      </c>
      <c r="U76" s="29"/>
      <c r="V76" s="29"/>
    </row>
    <row r="77" spans="2:22">
      <c r="B77" s="34">
        <f t="shared" si="2"/>
        <v>75</v>
      </c>
      <c r="C77" s="18"/>
      <c r="D77" s="23"/>
      <c r="E77" s="19"/>
      <c r="F77" s="24"/>
      <c r="G77" s="15"/>
      <c r="H77" s="27"/>
      <c r="I77" s="50" t="s">
        <v>153</v>
      </c>
      <c r="J77" s="43" t="s">
        <v>146</v>
      </c>
      <c r="K77" s="15"/>
      <c r="L77" s="15"/>
      <c r="M77" s="15"/>
      <c r="N77" s="15"/>
      <c r="O77" s="15"/>
      <c r="P77" s="15"/>
      <c r="Q77" s="15"/>
      <c r="R77" s="16"/>
      <c r="S77" s="34" t="s">
        <v>143</v>
      </c>
      <c r="T77" s="9"/>
      <c r="U77" s="9"/>
      <c r="V77" s="9"/>
    </row>
    <row r="78" spans="2:22">
      <c r="B78" s="34">
        <f t="shared" si="2"/>
        <v>76</v>
      </c>
      <c r="C78" s="18"/>
      <c r="D78" s="23"/>
      <c r="E78" s="19"/>
      <c r="F78" s="24"/>
      <c r="G78" s="15"/>
      <c r="H78" s="27"/>
      <c r="I78" s="50" t="s">
        <v>153</v>
      </c>
      <c r="J78" s="43" t="s">
        <v>146</v>
      </c>
      <c r="K78" s="15"/>
      <c r="L78" s="15"/>
      <c r="M78" s="15"/>
      <c r="N78" s="15"/>
      <c r="O78" s="15"/>
      <c r="P78" s="15"/>
      <c r="Q78" s="15"/>
      <c r="R78" s="16"/>
      <c r="S78" s="34" t="s">
        <v>143</v>
      </c>
      <c r="T78" s="9"/>
      <c r="U78" s="9"/>
      <c r="V78" s="9"/>
    </row>
    <row r="79" spans="2:22">
      <c r="B79" s="34">
        <f t="shared" si="2"/>
        <v>77</v>
      </c>
      <c r="C79" s="18"/>
      <c r="D79" s="23"/>
      <c r="E79" s="19"/>
      <c r="F79" s="24"/>
      <c r="G79" s="15"/>
      <c r="H79" s="35" t="s">
        <v>239</v>
      </c>
      <c r="I79" s="15"/>
      <c r="J79" s="15"/>
      <c r="K79" s="15"/>
      <c r="L79" s="15"/>
      <c r="M79" s="15"/>
      <c r="N79" s="15"/>
      <c r="O79" s="15"/>
      <c r="P79" s="15"/>
      <c r="Q79" s="15"/>
      <c r="R79" s="16"/>
      <c r="S79" s="34" t="s">
        <v>162</v>
      </c>
      <c r="T79" s="36" t="s">
        <v>147</v>
      </c>
      <c r="U79" s="9"/>
      <c r="V79" s="9"/>
    </row>
    <row r="80" spans="2:22">
      <c r="B80" s="34">
        <f t="shared" si="2"/>
        <v>78</v>
      </c>
      <c r="C80" s="18"/>
      <c r="D80" s="23"/>
      <c r="E80" s="19"/>
      <c r="F80" s="24"/>
      <c r="G80" s="15"/>
      <c r="H80" s="44" t="s">
        <v>38</v>
      </c>
      <c r="I80" s="27"/>
      <c r="J80" s="27"/>
      <c r="K80" s="27"/>
      <c r="L80" s="27"/>
      <c r="M80" s="27"/>
      <c r="N80" s="27"/>
      <c r="O80" s="27"/>
      <c r="P80" s="27"/>
      <c r="Q80" s="27"/>
      <c r="R80" s="28"/>
      <c r="S80" s="45" t="s">
        <v>146</v>
      </c>
      <c r="T80" s="46" t="s">
        <v>147</v>
      </c>
      <c r="U80" s="29"/>
      <c r="V80" s="29"/>
    </row>
    <row r="81" spans="2:22">
      <c r="B81" s="34">
        <f t="shared" si="2"/>
        <v>79</v>
      </c>
      <c r="C81" s="18"/>
      <c r="D81" s="23"/>
      <c r="E81" s="19"/>
      <c r="F81" s="24"/>
      <c r="G81" s="15"/>
      <c r="H81" s="27"/>
      <c r="I81" s="50" t="s">
        <v>153</v>
      </c>
      <c r="J81" s="35" t="s">
        <v>240</v>
      </c>
      <c r="K81" s="15"/>
      <c r="L81" s="15"/>
      <c r="M81" s="15"/>
      <c r="N81" s="15"/>
      <c r="O81" s="15"/>
      <c r="P81" s="15"/>
      <c r="Q81" s="15"/>
      <c r="R81" s="16"/>
      <c r="S81" s="34" t="s">
        <v>143</v>
      </c>
      <c r="T81" s="36" t="s">
        <v>147</v>
      </c>
      <c r="U81" s="9"/>
      <c r="V81" s="9"/>
    </row>
    <row r="82" spans="2:22">
      <c r="B82" s="34">
        <f t="shared" si="2"/>
        <v>80</v>
      </c>
      <c r="C82" s="18"/>
      <c r="D82" s="23"/>
      <c r="E82" s="19"/>
      <c r="F82" s="24"/>
      <c r="G82" s="15"/>
      <c r="H82" s="27"/>
      <c r="I82" s="50" t="s">
        <v>153</v>
      </c>
      <c r="J82" s="35" t="s">
        <v>240</v>
      </c>
      <c r="K82" s="15"/>
      <c r="L82" s="15"/>
      <c r="M82" s="15"/>
      <c r="N82" s="15"/>
      <c r="O82" s="15"/>
      <c r="P82" s="15"/>
      <c r="Q82" s="15"/>
      <c r="R82" s="16"/>
      <c r="S82" s="34" t="s">
        <v>143</v>
      </c>
      <c r="T82" s="36" t="s">
        <v>147</v>
      </c>
      <c r="U82" s="9"/>
      <c r="V82" s="9"/>
    </row>
    <row r="83" spans="2:22">
      <c r="B83" s="34">
        <f t="shared" si="2"/>
        <v>81</v>
      </c>
      <c r="C83" s="18"/>
      <c r="D83" s="23"/>
      <c r="E83" s="19"/>
      <c r="F83" s="24"/>
      <c r="G83" s="15"/>
      <c r="H83" s="35" t="s">
        <v>175</v>
      </c>
      <c r="I83" s="15"/>
      <c r="J83" s="15"/>
      <c r="K83" s="15"/>
      <c r="L83" s="15"/>
      <c r="M83" s="15"/>
      <c r="N83" s="15"/>
      <c r="O83" s="15"/>
      <c r="P83" s="15"/>
      <c r="Q83" s="15"/>
      <c r="R83" s="16"/>
      <c r="S83" s="34" t="s">
        <v>143</v>
      </c>
      <c r="T83" s="36" t="s">
        <v>147</v>
      </c>
      <c r="U83" s="9"/>
      <c r="V83" s="9"/>
    </row>
    <row r="84" spans="2:22">
      <c r="B84" s="34">
        <f t="shared" si="2"/>
        <v>82</v>
      </c>
      <c r="C84" s="18"/>
      <c r="D84" s="23"/>
      <c r="E84" s="19"/>
      <c r="F84" s="24"/>
      <c r="G84" s="15"/>
      <c r="H84" s="35" t="s">
        <v>250</v>
      </c>
      <c r="I84" s="15"/>
      <c r="J84" s="15"/>
      <c r="K84" s="15"/>
      <c r="L84" s="15"/>
      <c r="M84" s="15"/>
      <c r="N84" s="15"/>
      <c r="O84" s="15"/>
      <c r="P84" s="15"/>
      <c r="Q84" s="15"/>
      <c r="R84" s="16"/>
      <c r="S84" s="34" t="s">
        <v>143</v>
      </c>
      <c r="T84" s="36" t="s">
        <v>147</v>
      </c>
      <c r="U84" s="9"/>
      <c r="V84" s="9"/>
    </row>
    <row r="85" spans="2:22">
      <c r="B85" s="34">
        <f t="shared" si="2"/>
        <v>83</v>
      </c>
      <c r="C85" s="18"/>
      <c r="D85" s="23"/>
      <c r="E85" s="19"/>
      <c r="F85" s="24"/>
      <c r="G85" s="15"/>
      <c r="H85" s="44" t="s">
        <v>59</v>
      </c>
      <c r="I85" s="27"/>
      <c r="J85" s="27"/>
      <c r="K85" s="27"/>
      <c r="L85" s="27"/>
      <c r="M85" s="27"/>
      <c r="N85" s="27"/>
      <c r="O85" s="27"/>
      <c r="P85" s="27"/>
      <c r="Q85" s="27"/>
      <c r="R85" s="28"/>
      <c r="S85" s="45" t="s">
        <v>146</v>
      </c>
      <c r="T85" s="46" t="s">
        <v>147</v>
      </c>
      <c r="U85" s="29"/>
      <c r="V85" s="29"/>
    </row>
    <row r="86" spans="2:22">
      <c r="B86" s="34">
        <f t="shared" si="2"/>
        <v>84</v>
      </c>
      <c r="C86" s="18"/>
      <c r="D86" s="23"/>
      <c r="E86" s="19"/>
      <c r="F86" s="24"/>
      <c r="G86" s="15"/>
      <c r="H86" s="27"/>
      <c r="I86" s="50" t="s">
        <v>153</v>
      </c>
      <c r="J86" s="35" t="s">
        <v>251</v>
      </c>
      <c r="K86" s="15"/>
      <c r="L86" s="15"/>
      <c r="M86" s="15"/>
      <c r="N86" s="15"/>
      <c r="O86" s="15"/>
      <c r="P86" s="15"/>
      <c r="Q86" s="15"/>
      <c r="R86" s="16"/>
      <c r="S86" s="34" t="s">
        <v>150</v>
      </c>
      <c r="T86" s="36" t="s">
        <v>147</v>
      </c>
      <c r="U86" s="9"/>
      <c r="V86" s="9"/>
    </row>
    <row r="87" spans="2:22">
      <c r="B87" s="34">
        <f t="shared" si="2"/>
        <v>85</v>
      </c>
      <c r="C87" s="18"/>
      <c r="D87" s="23"/>
      <c r="E87" s="19"/>
      <c r="F87" s="24"/>
      <c r="G87" s="15"/>
      <c r="H87" s="27"/>
      <c r="I87" s="15"/>
      <c r="J87" s="35" t="s">
        <v>250</v>
      </c>
      <c r="K87" s="15"/>
      <c r="L87" s="15"/>
      <c r="M87" s="15"/>
      <c r="N87" s="15"/>
      <c r="O87" s="15"/>
      <c r="P87" s="15"/>
      <c r="Q87" s="15"/>
      <c r="R87" s="16"/>
      <c r="S87" s="34" t="s">
        <v>143</v>
      </c>
      <c r="T87" s="36" t="s">
        <v>147</v>
      </c>
      <c r="U87" s="9"/>
      <c r="V87" s="9"/>
    </row>
    <row r="88" spans="2:22">
      <c r="B88" s="34">
        <f t="shared" si="2"/>
        <v>86</v>
      </c>
      <c r="C88" s="18"/>
      <c r="D88" s="23"/>
      <c r="E88" s="19"/>
      <c r="F88" s="24"/>
      <c r="G88" s="15"/>
      <c r="H88" s="27"/>
      <c r="I88" s="50" t="s">
        <v>153</v>
      </c>
      <c r="J88" s="35" t="s">
        <v>251</v>
      </c>
      <c r="K88" s="15"/>
      <c r="L88" s="15"/>
      <c r="M88" s="15"/>
      <c r="N88" s="15"/>
      <c r="O88" s="15"/>
      <c r="P88" s="15"/>
      <c r="Q88" s="15"/>
      <c r="R88" s="16"/>
      <c r="S88" s="34" t="s">
        <v>150</v>
      </c>
      <c r="T88" s="36" t="s">
        <v>147</v>
      </c>
      <c r="U88" s="9"/>
      <c r="V88" s="9"/>
    </row>
    <row r="89" spans="2:22">
      <c r="B89" s="34">
        <f t="shared" si="2"/>
        <v>87</v>
      </c>
      <c r="C89" s="18"/>
      <c r="D89" s="23"/>
      <c r="E89" s="19"/>
      <c r="F89" s="24"/>
      <c r="G89" s="15"/>
      <c r="H89" s="27"/>
      <c r="I89" s="15"/>
      <c r="J89" s="35" t="s">
        <v>250</v>
      </c>
      <c r="K89" s="15"/>
      <c r="L89" s="15"/>
      <c r="M89" s="15"/>
      <c r="N89" s="15"/>
      <c r="O89" s="15"/>
      <c r="P89" s="15"/>
      <c r="Q89" s="15"/>
      <c r="R89" s="16"/>
      <c r="S89" s="34" t="s">
        <v>143</v>
      </c>
      <c r="T89" s="36" t="s">
        <v>147</v>
      </c>
      <c r="U89" s="9"/>
      <c r="V89" s="9"/>
    </row>
    <row r="90" spans="2:22">
      <c r="B90" s="34">
        <f t="shared" si="2"/>
        <v>88</v>
      </c>
      <c r="C90" s="18"/>
      <c r="D90" s="23"/>
      <c r="E90" s="19"/>
      <c r="F90" s="24"/>
      <c r="G90" s="15"/>
      <c r="H90" s="35" t="s">
        <v>252</v>
      </c>
      <c r="I90" s="15"/>
      <c r="J90" s="15"/>
      <c r="K90" s="15"/>
      <c r="L90" s="15"/>
      <c r="M90" s="15"/>
      <c r="N90" s="15"/>
      <c r="O90" s="15"/>
      <c r="P90" s="15"/>
      <c r="Q90" s="15"/>
      <c r="R90" s="16"/>
      <c r="S90" s="34" t="s">
        <v>162</v>
      </c>
      <c r="T90" s="36" t="s">
        <v>147</v>
      </c>
      <c r="U90" s="9"/>
      <c r="V90" s="9"/>
    </row>
    <row r="91" spans="2:22">
      <c r="B91" s="34">
        <f t="shared" si="2"/>
        <v>89</v>
      </c>
      <c r="C91" s="18"/>
      <c r="D91" s="23"/>
      <c r="E91" s="19"/>
      <c r="F91" s="24"/>
      <c r="G91" s="15"/>
      <c r="H91" s="35" t="s">
        <v>180</v>
      </c>
      <c r="I91" s="15"/>
      <c r="J91" s="15"/>
      <c r="K91" s="15"/>
      <c r="L91" s="15"/>
      <c r="M91" s="15"/>
      <c r="N91" s="15"/>
      <c r="O91" s="15"/>
      <c r="P91" s="15"/>
      <c r="Q91" s="15"/>
      <c r="R91" s="16"/>
      <c r="S91" s="34" t="s">
        <v>143</v>
      </c>
      <c r="T91" s="36" t="s">
        <v>147</v>
      </c>
      <c r="U91" s="9"/>
      <c r="V91" s="9"/>
    </row>
    <row r="92" spans="2:22">
      <c r="B92" s="34">
        <f t="shared" si="2"/>
        <v>90</v>
      </c>
      <c r="C92" s="18"/>
      <c r="D92" s="23"/>
      <c r="E92" s="19"/>
      <c r="F92" s="24"/>
      <c r="G92" s="50" t="s">
        <v>153</v>
      </c>
      <c r="H92" s="35" t="s">
        <v>248</v>
      </c>
      <c r="I92" s="15"/>
      <c r="J92" s="15"/>
      <c r="K92" s="15"/>
      <c r="L92" s="15"/>
      <c r="M92" s="15"/>
      <c r="N92" s="15"/>
      <c r="O92" s="15"/>
      <c r="P92" s="15"/>
      <c r="Q92" s="15"/>
      <c r="R92" s="16"/>
      <c r="S92" s="34" t="s">
        <v>150</v>
      </c>
      <c r="T92" s="36" t="s">
        <v>147</v>
      </c>
      <c r="U92" s="9"/>
      <c r="V92" s="9"/>
    </row>
    <row r="93" spans="2:22">
      <c r="B93" s="34">
        <f t="shared" si="2"/>
        <v>91</v>
      </c>
      <c r="C93" s="18"/>
      <c r="D93" s="23"/>
      <c r="E93" s="19"/>
      <c r="F93" s="24"/>
      <c r="G93" s="15"/>
      <c r="H93" s="35" t="s">
        <v>217</v>
      </c>
      <c r="I93" s="15"/>
      <c r="J93" s="15"/>
      <c r="K93" s="15"/>
      <c r="L93" s="15"/>
      <c r="M93" s="15"/>
      <c r="N93" s="15"/>
      <c r="O93" s="15"/>
      <c r="P93" s="15"/>
      <c r="Q93" s="15"/>
      <c r="R93" s="16"/>
      <c r="S93" s="34" t="s">
        <v>150</v>
      </c>
      <c r="T93" s="36" t="s">
        <v>147</v>
      </c>
      <c r="U93" s="9"/>
      <c r="V93" s="9"/>
    </row>
    <row r="94" spans="2:22">
      <c r="B94" s="34">
        <f t="shared" si="2"/>
        <v>92</v>
      </c>
      <c r="C94" s="18"/>
      <c r="D94" s="23"/>
      <c r="E94" s="19"/>
      <c r="F94" s="24"/>
      <c r="G94" s="15"/>
      <c r="H94" s="35" t="s">
        <v>187</v>
      </c>
      <c r="I94" s="15"/>
      <c r="J94" s="15"/>
      <c r="K94" s="15"/>
      <c r="L94" s="15"/>
      <c r="M94" s="15"/>
      <c r="N94" s="15"/>
      <c r="O94" s="15"/>
      <c r="P94" s="15"/>
      <c r="Q94" s="15"/>
      <c r="R94" s="16"/>
      <c r="S94" s="34" t="s">
        <v>143</v>
      </c>
      <c r="T94" s="36" t="s">
        <v>147</v>
      </c>
      <c r="U94" s="9"/>
      <c r="V94" s="9"/>
    </row>
    <row r="95" spans="2:22">
      <c r="B95" s="34">
        <f t="shared" si="2"/>
        <v>93</v>
      </c>
      <c r="C95" s="18"/>
      <c r="D95" s="23"/>
      <c r="E95" s="19"/>
      <c r="F95" s="24"/>
      <c r="G95" s="15"/>
      <c r="H95" s="35" t="s">
        <v>249</v>
      </c>
      <c r="I95" s="15"/>
      <c r="J95" s="15"/>
      <c r="K95" s="15"/>
      <c r="L95" s="15"/>
      <c r="M95" s="15"/>
      <c r="N95" s="15"/>
      <c r="O95" s="15"/>
      <c r="P95" s="15"/>
      <c r="Q95" s="15"/>
      <c r="R95" s="16"/>
      <c r="S95" s="34" t="s">
        <v>143</v>
      </c>
      <c r="T95" s="36" t="s">
        <v>147</v>
      </c>
      <c r="U95" s="9"/>
      <c r="V95" s="9"/>
    </row>
    <row r="96" spans="2:22">
      <c r="B96" s="34">
        <f t="shared" si="2"/>
        <v>94</v>
      </c>
      <c r="C96" s="18"/>
      <c r="D96" s="23"/>
      <c r="E96" s="19"/>
      <c r="F96" s="24"/>
      <c r="G96" s="15"/>
      <c r="H96" s="44" t="s">
        <v>53</v>
      </c>
      <c r="I96" s="27"/>
      <c r="J96" s="27"/>
      <c r="K96" s="27"/>
      <c r="L96" s="27"/>
      <c r="M96" s="27"/>
      <c r="N96" s="27"/>
      <c r="O96" s="27"/>
      <c r="P96" s="27"/>
      <c r="Q96" s="27"/>
      <c r="R96" s="28"/>
      <c r="S96" s="45" t="s">
        <v>146</v>
      </c>
      <c r="T96" s="46" t="s">
        <v>147</v>
      </c>
      <c r="U96" s="29"/>
      <c r="V96" s="29"/>
    </row>
    <row r="97" spans="2:22">
      <c r="B97" s="34">
        <f t="shared" si="2"/>
        <v>95</v>
      </c>
      <c r="C97" s="18"/>
      <c r="D97" s="23"/>
      <c r="E97" s="19"/>
      <c r="F97" s="24"/>
      <c r="G97" s="15"/>
      <c r="H97" s="27"/>
      <c r="I97" s="50" t="s">
        <v>153</v>
      </c>
      <c r="J97" s="43" t="s">
        <v>146</v>
      </c>
      <c r="K97" s="15"/>
      <c r="L97" s="15"/>
      <c r="M97" s="15"/>
      <c r="N97" s="15"/>
      <c r="O97" s="15"/>
      <c r="P97" s="15"/>
      <c r="Q97" s="15"/>
      <c r="R97" s="16"/>
      <c r="S97" s="34" t="s">
        <v>143</v>
      </c>
      <c r="T97" s="9"/>
      <c r="U97" s="9"/>
      <c r="V97" s="9"/>
    </row>
    <row r="98" spans="2:22">
      <c r="B98" s="34">
        <f t="shared" si="2"/>
        <v>96</v>
      </c>
      <c r="C98" s="18"/>
      <c r="D98" s="23"/>
      <c r="E98" s="19"/>
      <c r="F98" s="24"/>
      <c r="G98" s="15"/>
      <c r="H98" s="27"/>
      <c r="I98" s="50" t="s">
        <v>153</v>
      </c>
      <c r="J98" s="43" t="s">
        <v>146</v>
      </c>
      <c r="K98" s="15"/>
      <c r="L98" s="15"/>
      <c r="M98" s="15"/>
      <c r="N98" s="15"/>
      <c r="O98" s="15"/>
      <c r="P98" s="15"/>
      <c r="Q98" s="15"/>
      <c r="R98" s="16"/>
      <c r="S98" s="34" t="s">
        <v>143</v>
      </c>
      <c r="T98" s="9"/>
      <c r="U98" s="9"/>
      <c r="V98" s="9"/>
    </row>
    <row r="99" spans="2:22">
      <c r="B99" s="34">
        <f t="shared" ref="B99:B130" si="3">ROW()-2</f>
        <v>97</v>
      </c>
      <c r="C99" s="18"/>
      <c r="D99" s="23"/>
      <c r="E99" s="19"/>
      <c r="F99" s="24"/>
      <c r="G99" s="15"/>
      <c r="H99" s="35" t="s">
        <v>239</v>
      </c>
      <c r="I99" s="15"/>
      <c r="J99" s="15"/>
      <c r="K99" s="15"/>
      <c r="L99" s="15"/>
      <c r="M99" s="15"/>
      <c r="N99" s="15"/>
      <c r="O99" s="15"/>
      <c r="P99" s="15"/>
      <c r="Q99" s="15"/>
      <c r="R99" s="16"/>
      <c r="S99" s="34" t="s">
        <v>162</v>
      </c>
      <c r="T99" s="36" t="s">
        <v>147</v>
      </c>
      <c r="U99" s="9"/>
      <c r="V99" s="9"/>
    </row>
    <row r="100" spans="2:22">
      <c r="B100" s="34">
        <f t="shared" si="3"/>
        <v>98</v>
      </c>
      <c r="C100" s="18"/>
      <c r="D100" s="23"/>
      <c r="E100" s="19"/>
      <c r="F100" s="24"/>
      <c r="G100" s="15"/>
      <c r="H100" s="44" t="s">
        <v>38</v>
      </c>
      <c r="I100" s="27"/>
      <c r="J100" s="27"/>
      <c r="K100" s="27"/>
      <c r="L100" s="27"/>
      <c r="M100" s="27"/>
      <c r="N100" s="27"/>
      <c r="O100" s="27"/>
      <c r="P100" s="27"/>
      <c r="Q100" s="27"/>
      <c r="R100" s="28"/>
      <c r="S100" s="45" t="s">
        <v>146</v>
      </c>
      <c r="T100" s="46" t="s">
        <v>147</v>
      </c>
      <c r="U100" s="29"/>
      <c r="V100" s="29"/>
    </row>
    <row r="101" spans="2:22">
      <c r="B101" s="34">
        <f t="shared" si="3"/>
        <v>99</v>
      </c>
      <c r="C101" s="18"/>
      <c r="D101" s="23"/>
      <c r="E101" s="19"/>
      <c r="F101" s="24"/>
      <c r="G101" s="15"/>
      <c r="H101" s="27"/>
      <c r="I101" s="50" t="s">
        <v>153</v>
      </c>
      <c r="J101" s="35" t="s">
        <v>240</v>
      </c>
      <c r="K101" s="15"/>
      <c r="L101" s="15"/>
      <c r="M101" s="15"/>
      <c r="N101" s="15"/>
      <c r="O101" s="15"/>
      <c r="P101" s="15"/>
      <c r="Q101" s="15"/>
      <c r="R101" s="16"/>
      <c r="S101" s="34" t="s">
        <v>143</v>
      </c>
      <c r="T101" s="36" t="s">
        <v>147</v>
      </c>
      <c r="U101" s="9"/>
      <c r="V101" s="9"/>
    </row>
    <row r="102" spans="2:22">
      <c r="B102" s="34">
        <f t="shared" si="3"/>
        <v>100</v>
      </c>
      <c r="C102" s="18"/>
      <c r="D102" s="23"/>
      <c r="E102" s="19"/>
      <c r="F102" s="24"/>
      <c r="G102" s="15"/>
      <c r="H102" s="27"/>
      <c r="I102" s="50" t="s">
        <v>153</v>
      </c>
      <c r="J102" s="35" t="s">
        <v>240</v>
      </c>
      <c r="K102" s="15"/>
      <c r="L102" s="15"/>
      <c r="M102" s="15"/>
      <c r="N102" s="15"/>
      <c r="O102" s="15"/>
      <c r="P102" s="15"/>
      <c r="Q102" s="15"/>
      <c r="R102" s="16"/>
      <c r="S102" s="34" t="s">
        <v>143</v>
      </c>
      <c r="T102" s="36" t="s">
        <v>147</v>
      </c>
      <c r="U102" s="9"/>
      <c r="V102" s="9"/>
    </row>
    <row r="103" spans="2:22">
      <c r="B103" s="34">
        <f t="shared" si="3"/>
        <v>101</v>
      </c>
      <c r="C103" s="18"/>
      <c r="D103" s="23"/>
      <c r="E103" s="19"/>
      <c r="F103" s="24"/>
      <c r="G103" s="15"/>
      <c r="H103" s="35" t="s">
        <v>175</v>
      </c>
      <c r="I103" s="15"/>
      <c r="J103" s="15"/>
      <c r="K103" s="15"/>
      <c r="L103" s="15"/>
      <c r="M103" s="15"/>
      <c r="N103" s="15"/>
      <c r="O103" s="15"/>
      <c r="P103" s="15"/>
      <c r="Q103" s="15"/>
      <c r="R103" s="16"/>
      <c r="S103" s="34" t="s">
        <v>143</v>
      </c>
      <c r="T103" s="36" t="s">
        <v>147</v>
      </c>
      <c r="U103" s="9"/>
      <c r="V103" s="9"/>
    </row>
    <row r="104" spans="2:22">
      <c r="B104" s="34">
        <f t="shared" si="3"/>
        <v>102</v>
      </c>
      <c r="C104" s="18"/>
      <c r="D104" s="23"/>
      <c r="E104" s="19"/>
      <c r="F104" s="24"/>
      <c r="G104" s="15"/>
      <c r="H104" s="35" t="s">
        <v>250</v>
      </c>
      <c r="I104" s="15"/>
      <c r="J104" s="15"/>
      <c r="K104" s="15"/>
      <c r="L104" s="15"/>
      <c r="M104" s="15"/>
      <c r="N104" s="15"/>
      <c r="O104" s="15"/>
      <c r="P104" s="15"/>
      <c r="Q104" s="15"/>
      <c r="R104" s="16"/>
      <c r="S104" s="34" t="s">
        <v>143</v>
      </c>
      <c r="T104" s="36" t="s">
        <v>147</v>
      </c>
      <c r="U104" s="9"/>
      <c r="V104" s="9"/>
    </row>
    <row r="105" spans="2:22">
      <c r="B105" s="34">
        <f t="shared" si="3"/>
        <v>103</v>
      </c>
      <c r="C105" s="18"/>
      <c r="D105" s="23"/>
      <c r="E105" s="19"/>
      <c r="F105" s="24"/>
      <c r="G105" s="15"/>
      <c r="H105" s="44" t="s">
        <v>59</v>
      </c>
      <c r="I105" s="27"/>
      <c r="J105" s="27"/>
      <c r="K105" s="27"/>
      <c r="L105" s="27"/>
      <c r="M105" s="27"/>
      <c r="N105" s="27"/>
      <c r="O105" s="27"/>
      <c r="P105" s="27"/>
      <c r="Q105" s="27"/>
      <c r="R105" s="28"/>
      <c r="S105" s="45" t="s">
        <v>146</v>
      </c>
      <c r="T105" s="46" t="s">
        <v>147</v>
      </c>
      <c r="U105" s="29"/>
      <c r="V105" s="29"/>
    </row>
    <row r="106" spans="2:22">
      <c r="B106" s="34">
        <f t="shared" si="3"/>
        <v>104</v>
      </c>
      <c r="C106" s="18"/>
      <c r="D106" s="23"/>
      <c r="E106" s="19"/>
      <c r="F106" s="24"/>
      <c r="G106" s="15"/>
      <c r="H106" s="27"/>
      <c r="I106" s="50" t="s">
        <v>153</v>
      </c>
      <c r="J106" s="35" t="s">
        <v>251</v>
      </c>
      <c r="K106" s="15"/>
      <c r="L106" s="15"/>
      <c r="M106" s="15"/>
      <c r="N106" s="15"/>
      <c r="O106" s="15"/>
      <c r="P106" s="15"/>
      <c r="Q106" s="15"/>
      <c r="R106" s="16"/>
      <c r="S106" s="34" t="s">
        <v>150</v>
      </c>
      <c r="T106" s="36" t="s">
        <v>147</v>
      </c>
      <c r="U106" s="9"/>
      <c r="V106" s="9"/>
    </row>
    <row r="107" spans="2:22">
      <c r="B107" s="34">
        <f t="shared" si="3"/>
        <v>105</v>
      </c>
      <c r="C107" s="18"/>
      <c r="D107" s="23"/>
      <c r="E107" s="19"/>
      <c r="F107" s="24"/>
      <c r="G107" s="15"/>
      <c r="H107" s="27"/>
      <c r="I107" s="15"/>
      <c r="J107" s="35" t="s">
        <v>250</v>
      </c>
      <c r="K107" s="15"/>
      <c r="L107" s="15"/>
      <c r="M107" s="15"/>
      <c r="N107" s="15"/>
      <c r="O107" s="15"/>
      <c r="P107" s="15"/>
      <c r="Q107" s="15"/>
      <c r="R107" s="16"/>
      <c r="S107" s="34" t="s">
        <v>143</v>
      </c>
      <c r="T107" s="36" t="s">
        <v>147</v>
      </c>
      <c r="U107" s="9"/>
      <c r="V107" s="9"/>
    </row>
    <row r="108" spans="2:22">
      <c r="B108" s="34">
        <f t="shared" si="3"/>
        <v>106</v>
      </c>
      <c r="C108" s="18"/>
      <c r="D108" s="23"/>
      <c r="E108" s="19"/>
      <c r="F108" s="24"/>
      <c r="G108" s="15"/>
      <c r="H108" s="27"/>
      <c r="I108" s="50" t="s">
        <v>153</v>
      </c>
      <c r="J108" s="35" t="s">
        <v>251</v>
      </c>
      <c r="K108" s="15"/>
      <c r="L108" s="15"/>
      <c r="M108" s="15"/>
      <c r="N108" s="15"/>
      <c r="O108" s="15"/>
      <c r="P108" s="15"/>
      <c r="Q108" s="15"/>
      <c r="R108" s="16"/>
      <c r="S108" s="34" t="s">
        <v>150</v>
      </c>
      <c r="T108" s="36" t="s">
        <v>147</v>
      </c>
      <c r="U108" s="9"/>
      <c r="V108" s="9"/>
    </row>
    <row r="109" spans="2:22">
      <c r="B109" s="34">
        <f t="shared" si="3"/>
        <v>107</v>
      </c>
      <c r="C109" s="18"/>
      <c r="D109" s="23"/>
      <c r="E109" s="19"/>
      <c r="F109" s="24"/>
      <c r="G109" s="15"/>
      <c r="H109" s="27"/>
      <c r="I109" s="15"/>
      <c r="J109" s="35" t="s">
        <v>250</v>
      </c>
      <c r="K109" s="15"/>
      <c r="L109" s="15"/>
      <c r="M109" s="15"/>
      <c r="N109" s="15"/>
      <c r="O109" s="15"/>
      <c r="P109" s="15"/>
      <c r="Q109" s="15"/>
      <c r="R109" s="16"/>
      <c r="S109" s="34" t="s">
        <v>143</v>
      </c>
      <c r="T109" s="36" t="s">
        <v>147</v>
      </c>
      <c r="U109" s="9"/>
      <c r="V109" s="9"/>
    </row>
    <row r="110" spans="2:22">
      <c r="B110" s="34">
        <f t="shared" si="3"/>
        <v>108</v>
      </c>
      <c r="C110" s="18"/>
      <c r="D110" s="23"/>
      <c r="E110" s="19"/>
      <c r="F110" s="24"/>
      <c r="G110" s="15"/>
      <c r="H110" s="35" t="s">
        <v>252</v>
      </c>
      <c r="I110" s="15"/>
      <c r="J110" s="15"/>
      <c r="K110" s="15"/>
      <c r="L110" s="15"/>
      <c r="M110" s="15"/>
      <c r="N110" s="15"/>
      <c r="O110" s="15"/>
      <c r="P110" s="15"/>
      <c r="Q110" s="15"/>
      <c r="R110" s="16"/>
      <c r="S110" s="34" t="s">
        <v>162</v>
      </c>
      <c r="T110" s="36" t="s">
        <v>147</v>
      </c>
      <c r="U110" s="9"/>
      <c r="V110" s="9"/>
    </row>
    <row r="111" spans="2:22">
      <c r="B111" s="34">
        <f t="shared" si="3"/>
        <v>109</v>
      </c>
      <c r="C111" s="18"/>
      <c r="D111" s="23"/>
      <c r="E111" s="19"/>
      <c r="F111" s="24"/>
      <c r="G111" s="15"/>
      <c r="H111" s="35" t="s">
        <v>180</v>
      </c>
      <c r="I111" s="15"/>
      <c r="J111" s="15"/>
      <c r="K111" s="15"/>
      <c r="L111" s="15"/>
      <c r="M111" s="15"/>
      <c r="N111" s="15"/>
      <c r="O111" s="15"/>
      <c r="P111" s="15"/>
      <c r="Q111" s="15"/>
      <c r="R111" s="16"/>
      <c r="S111" s="34" t="s">
        <v>143</v>
      </c>
      <c r="T111" s="36" t="s">
        <v>147</v>
      </c>
      <c r="U111" s="9"/>
      <c r="V111" s="9"/>
    </row>
    <row r="112" spans="2:22">
      <c r="B112" s="34">
        <f t="shared" si="3"/>
        <v>110</v>
      </c>
      <c r="C112" s="18"/>
      <c r="D112" s="23"/>
      <c r="E112" s="19"/>
      <c r="F112" s="35" t="s">
        <v>253</v>
      </c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6"/>
      <c r="S112" s="34" t="s">
        <v>143</v>
      </c>
      <c r="T112" s="36" t="s">
        <v>147</v>
      </c>
      <c r="U112" s="9"/>
      <c r="V112" s="9"/>
    </row>
    <row r="113" spans="2:22">
      <c r="B113" s="34">
        <f t="shared" si="3"/>
        <v>111</v>
      </c>
      <c r="C113" s="18"/>
      <c r="D113" s="23"/>
      <c r="E113" s="19"/>
      <c r="F113" s="35" t="s">
        <v>250</v>
      </c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6"/>
      <c r="S113" s="34" t="s">
        <v>143</v>
      </c>
      <c r="T113" s="36" t="s">
        <v>147</v>
      </c>
      <c r="U113" s="9"/>
      <c r="V113" s="9"/>
    </row>
    <row r="114" spans="2:22">
      <c r="B114" s="34">
        <f t="shared" si="3"/>
        <v>112</v>
      </c>
      <c r="C114" s="18"/>
      <c r="D114" s="23"/>
      <c r="E114" s="19"/>
      <c r="F114" s="35" t="s">
        <v>254</v>
      </c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6"/>
      <c r="S114" s="34" t="s">
        <v>143</v>
      </c>
      <c r="T114" s="36" t="s">
        <v>147</v>
      </c>
      <c r="U114" s="9"/>
      <c r="V114" s="9"/>
    </row>
    <row r="115" spans="2:22">
      <c r="B115" s="34">
        <f t="shared" si="3"/>
        <v>113</v>
      </c>
      <c r="C115" s="18"/>
      <c r="D115" s="23"/>
      <c r="E115" s="19"/>
      <c r="F115" s="40" t="s">
        <v>64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5"/>
      <c r="S115" s="41" t="s">
        <v>146</v>
      </c>
      <c r="T115" s="42" t="s">
        <v>147</v>
      </c>
      <c r="U115" s="26"/>
      <c r="V115" s="26"/>
    </row>
    <row r="116" spans="2:22">
      <c r="B116" s="34">
        <f t="shared" si="3"/>
        <v>114</v>
      </c>
      <c r="C116" s="18"/>
      <c r="D116" s="23"/>
      <c r="E116" s="19"/>
      <c r="F116" s="24"/>
      <c r="G116" s="50" t="s">
        <v>153</v>
      </c>
      <c r="H116" s="43" t="s">
        <v>146</v>
      </c>
      <c r="I116" s="15"/>
      <c r="J116" s="15"/>
      <c r="K116" s="15"/>
      <c r="L116" s="15"/>
      <c r="M116" s="15"/>
      <c r="N116" s="15"/>
      <c r="O116" s="15"/>
      <c r="P116" s="15"/>
      <c r="Q116" s="15"/>
      <c r="R116" s="16"/>
      <c r="S116" s="34" t="s">
        <v>143</v>
      </c>
      <c r="T116" s="9"/>
      <c r="U116" s="9"/>
      <c r="V116" s="9"/>
    </row>
    <row r="117" spans="2:22">
      <c r="B117" s="34">
        <f t="shared" si="3"/>
        <v>115</v>
      </c>
      <c r="C117" s="18"/>
      <c r="D117" s="23"/>
      <c r="E117" s="19"/>
      <c r="F117" s="24"/>
      <c r="G117" s="50" t="s">
        <v>153</v>
      </c>
      <c r="H117" s="43" t="s">
        <v>146</v>
      </c>
      <c r="I117" s="15"/>
      <c r="J117" s="15"/>
      <c r="K117" s="15"/>
      <c r="L117" s="15"/>
      <c r="M117" s="15"/>
      <c r="N117" s="15"/>
      <c r="O117" s="15"/>
      <c r="P117" s="15"/>
      <c r="Q117" s="15"/>
      <c r="R117" s="16"/>
      <c r="S117" s="34" t="s">
        <v>143</v>
      </c>
      <c r="T117" s="9"/>
      <c r="U117" s="9"/>
      <c r="V117" s="9"/>
    </row>
    <row r="118" spans="2:22">
      <c r="B118" s="34">
        <f t="shared" si="3"/>
        <v>116</v>
      </c>
      <c r="C118" s="18"/>
      <c r="D118" s="23"/>
      <c r="E118" s="19"/>
      <c r="F118" s="40" t="s">
        <v>65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5"/>
      <c r="S118" s="41" t="s">
        <v>146</v>
      </c>
      <c r="T118" s="42" t="s">
        <v>147</v>
      </c>
      <c r="U118" s="26"/>
      <c r="V118" s="26"/>
    </row>
    <row r="119" spans="2:22">
      <c r="B119" s="34">
        <f t="shared" si="3"/>
        <v>117</v>
      </c>
      <c r="C119" s="18"/>
      <c r="D119" s="23"/>
      <c r="E119" s="19"/>
      <c r="F119" s="24"/>
      <c r="G119" s="50" t="s">
        <v>153</v>
      </c>
      <c r="H119" s="43" t="s">
        <v>146</v>
      </c>
      <c r="I119" s="15"/>
      <c r="J119" s="15"/>
      <c r="K119" s="15"/>
      <c r="L119" s="15"/>
      <c r="M119" s="15"/>
      <c r="N119" s="15"/>
      <c r="O119" s="15"/>
      <c r="P119" s="15"/>
      <c r="Q119" s="15"/>
      <c r="R119" s="16"/>
      <c r="S119" s="34" t="s">
        <v>143</v>
      </c>
      <c r="T119" s="9"/>
      <c r="U119" s="9"/>
      <c r="V119" s="9"/>
    </row>
    <row r="120" spans="2:22">
      <c r="B120" s="34">
        <f t="shared" si="3"/>
        <v>118</v>
      </c>
      <c r="C120" s="18"/>
      <c r="D120" s="23"/>
      <c r="E120" s="19"/>
      <c r="F120" s="24"/>
      <c r="G120" s="50" t="s">
        <v>153</v>
      </c>
      <c r="H120" s="43" t="s">
        <v>146</v>
      </c>
      <c r="I120" s="15"/>
      <c r="J120" s="15"/>
      <c r="K120" s="15"/>
      <c r="L120" s="15"/>
      <c r="M120" s="15"/>
      <c r="N120" s="15"/>
      <c r="O120" s="15"/>
      <c r="P120" s="15"/>
      <c r="Q120" s="15"/>
      <c r="R120" s="16"/>
      <c r="S120" s="34" t="s">
        <v>143</v>
      </c>
      <c r="T120" s="9"/>
      <c r="U120" s="9"/>
      <c r="V120" s="9"/>
    </row>
    <row r="121" spans="2:22">
      <c r="B121" s="34">
        <f t="shared" si="3"/>
        <v>119</v>
      </c>
      <c r="C121" s="18"/>
      <c r="D121" s="23"/>
      <c r="E121" s="19"/>
      <c r="F121" s="35" t="s">
        <v>255</v>
      </c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6"/>
      <c r="S121" s="34" t="s">
        <v>150</v>
      </c>
      <c r="T121" s="36" t="s">
        <v>147</v>
      </c>
      <c r="U121" s="9"/>
      <c r="V121" s="9"/>
    </row>
    <row r="122" spans="2:22">
      <c r="B122" s="34">
        <f t="shared" si="3"/>
        <v>120</v>
      </c>
      <c r="C122" s="18"/>
      <c r="D122" s="23"/>
      <c r="E122" s="19"/>
      <c r="F122" s="40" t="s">
        <v>67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5"/>
      <c r="S122" s="41" t="s">
        <v>146</v>
      </c>
      <c r="T122" s="42" t="s">
        <v>147</v>
      </c>
      <c r="U122" s="26"/>
      <c r="V122" s="26"/>
    </row>
    <row r="123" spans="2:22">
      <c r="B123" s="34">
        <f t="shared" si="3"/>
        <v>121</v>
      </c>
      <c r="C123" s="18"/>
      <c r="D123" s="23"/>
      <c r="E123" s="19"/>
      <c r="F123" s="24"/>
      <c r="G123" s="50" t="s">
        <v>153</v>
      </c>
      <c r="H123" s="44" t="s">
        <v>256</v>
      </c>
      <c r="I123" s="27"/>
      <c r="J123" s="27"/>
      <c r="K123" s="27"/>
      <c r="L123" s="27"/>
      <c r="M123" s="27"/>
      <c r="N123" s="27"/>
      <c r="O123" s="27"/>
      <c r="P123" s="27"/>
      <c r="Q123" s="27"/>
      <c r="R123" s="28"/>
      <c r="S123" s="45" t="s">
        <v>146</v>
      </c>
      <c r="T123" s="46" t="s">
        <v>147</v>
      </c>
      <c r="U123" s="29"/>
      <c r="V123" s="29"/>
    </row>
    <row r="124" spans="2:22">
      <c r="B124" s="34">
        <f t="shared" si="3"/>
        <v>122</v>
      </c>
      <c r="C124" s="18"/>
      <c r="D124" s="23"/>
      <c r="E124" s="19"/>
      <c r="F124" s="24"/>
      <c r="G124" s="30"/>
      <c r="H124" s="27"/>
      <c r="I124" s="50" t="s">
        <v>153</v>
      </c>
      <c r="J124" s="35" t="s">
        <v>154</v>
      </c>
      <c r="K124" s="15"/>
      <c r="L124" s="15"/>
      <c r="M124" s="15"/>
      <c r="N124" s="15"/>
      <c r="O124" s="15"/>
      <c r="P124" s="15"/>
      <c r="Q124" s="15"/>
      <c r="R124" s="16"/>
      <c r="S124" s="34" t="s">
        <v>143</v>
      </c>
      <c r="T124" s="36" t="s">
        <v>147</v>
      </c>
      <c r="U124" s="9"/>
      <c r="V124" s="9"/>
    </row>
    <row r="125" spans="2:22">
      <c r="B125" s="34">
        <f t="shared" si="3"/>
        <v>123</v>
      </c>
      <c r="C125" s="18"/>
      <c r="D125" s="23"/>
      <c r="E125" s="19"/>
      <c r="F125" s="24"/>
      <c r="G125" s="30"/>
      <c r="H125" s="27"/>
      <c r="I125" s="15"/>
      <c r="J125" s="47" t="s">
        <v>70</v>
      </c>
      <c r="K125" s="31"/>
      <c r="L125" s="31"/>
      <c r="M125" s="31"/>
      <c r="N125" s="31"/>
      <c r="O125" s="31"/>
      <c r="P125" s="31"/>
      <c r="Q125" s="31"/>
      <c r="R125" s="32"/>
      <c r="S125" s="48" t="s">
        <v>146</v>
      </c>
      <c r="T125" s="49" t="s">
        <v>147</v>
      </c>
      <c r="U125" s="33"/>
      <c r="V125" s="33"/>
    </row>
    <row r="126" spans="2:22">
      <c r="B126" s="34">
        <f t="shared" si="3"/>
        <v>124</v>
      </c>
      <c r="C126" s="18"/>
      <c r="D126" s="23"/>
      <c r="E126" s="19"/>
      <c r="F126" s="24"/>
      <c r="G126" s="30"/>
      <c r="H126" s="27"/>
      <c r="I126" s="15"/>
      <c r="J126" s="31"/>
      <c r="K126" s="50" t="s">
        <v>153</v>
      </c>
      <c r="L126" s="43" t="s">
        <v>146</v>
      </c>
      <c r="M126" s="15"/>
      <c r="N126" s="15"/>
      <c r="O126" s="15"/>
      <c r="P126" s="15"/>
      <c r="Q126" s="15"/>
      <c r="R126" s="16"/>
      <c r="S126" s="34" t="s">
        <v>143</v>
      </c>
      <c r="T126" s="9"/>
      <c r="U126" s="9"/>
      <c r="V126" s="9"/>
    </row>
    <row r="127" spans="2:22">
      <c r="B127" s="34">
        <f t="shared" si="3"/>
        <v>125</v>
      </c>
      <c r="C127" s="18"/>
      <c r="D127" s="23"/>
      <c r="E127" s="19"/>
      <c r="F127" s="24"/>
      <c r="G127" s="30"/>
      <c r="H127" s="27"/>
      <c r="I127" s="15"/>
      <c r="J127" s="31"/>
      <c r="K127" s="50" t="s">
        <v>153</v>
      </c>
      <c r="L127" s="43" t="s">
        <v>146</v>
      </c>
      <c r="M127" s="15"/>
      <c r="N127" s="15"/>
      <c r="O127" s="15"/>
      <c r="P127" s="15"/>
      <c r="Q127" s="15"/>
      <c r="R127" s="16"/>
      <c r="S127" s="34" t="s">
        <v>143</v>
      </c>
      <c r="T127" s="9"/>
      <c r="U127" s="9"/>
      <c r="V127" s="9"/>
    </row>
    <row r="128" spans="2:22">
      <c r="B128" s="34">
        <f t="shared" si="3"/>
        <v>126</v>
      </c>
      <c r="C128" s="18"/>
      <c r="D128" s="23"/>
      <c r="E128" s="19"/>
      <c r="F128" s="24"/>
      <c r="G128" s="30"/>
      <c r="H128" s="27"/>
      <c r="I128" s="50" t="s">
        <v>153</v>
      </c>
      <c r="J128" s="35" t="s">
        <v>154</v>
      </c>
      <c r="K128" s="15"/>
      <c r="L128" s="15"/>
      <c r="M128" s="15"/>
      <c r="N128" s="15"/>
      <c r="O128" s="15"/>
      <c r="P128" s="15"/>
      <c r="Q128" s="15"/>
      <c r="R128" s="16"/>
      <c r="S128" s="34" t="s">
        <v>143</v>
      </c>
      <c r="T128" s="36" t="s">
        <v>147</v>
      </c>
      <c r="U128" s="9"/>
      <c r="V128" s="9"/>
    </row>
    <row r="129" spans="2:22">
      <c r="B129" s="34">
        <f t="shared" si="3"/>
        <v>127</v>
      </c>
      <c r="C129" s="18"/>
      <c r="D129" s="23"/>
      <c r="E129" s="19"/>
      <c r="F129" s="24"/>
      <c r="G129" s="30"/>
      <c r="H129" s="27"/>
      <c r="I129" s="15"/>
      <c r="J129" s="47" t="s">
        <v>70</v>
      </c>
      <c r="K129" s="31"/>
      <c r="L129" s="31"/>
      <c r="M129" s="31"/>
      <c r="N129" s="31"/>
      <c r="O129" s="31"/>
      <c r="P129" s="31"/>
      <c r="Q129" s="31"/>
      <c r="R129" s="32"/>
      <c r="S129" s="48" t="s">
        <v>146</v>
      </c>
      <c r="T129" s="49" t="s">
        <v>147</v>
      </c>
      <c r="U129" s="33"/>
      <c r="V129" s="33"/>
    </row>
    <row r="130" spans="2:22">
      <c r="B130" s="34">
        <f t="shared" si="3"/>
        <v>128</v>
      </c>
      <c r="C130" s="18"/>
      <c r="D130" s="23"/>
      <c r="E130" s="19"/>
      <c r="F130" s="24"/>
      <c r="G130" s="30"/>
      <c r="H130" s="27"/>
      <c r="I130" s="15"/>
      <c r="J130" s="31"/>
      <c r="K130" s="50" t="s">
        <v>153</v>
      </c>
      <c r="L130" s="43" t="s">
        <v>146</v>
      </c>
      <c r="M130" s="15"/>
      <c r="N130" s="15"/>
      <c r="O130" s="15"/>
      <c r="P130" s="15"/>
      <c r="Q130" s="15"/>
      <c r="R130" s="16"/>
      <c r="S130" s="34" t="s">
        <v>143</v>
      </c>
      <c r="T130" s="9"/>
      <c r="U130" s="9"/>
      <c r="V130" s="9"/>
    </row>
    <row r="131" spans="2:22">
      <c r="B131" s="34">
        <f t="shared" ref="B131:B155" si="4">ROW()-2</f>
        <v>129</v>
      </c>
      <c r="C131" s="18"/>
      <c r="D131" s="23"/>
      <c r="E131" s="19"/>
      <c r="F131" s="24"/>
      <c r="G131" s="30"/>
      <c r="H131" s="27"/>
      <c r="I131" s="15"/>
      <c r="J131" s="31"/>
      <c r="K131" s="50" t="s">
        <v>153</v>
      </c>
      <c r="L131" s="43" t="s">
        <v>146</v>
      </c>
      <c r="M131" s="15"/>
      <c r="N131" s="15"/>
      <c r="O131" s="15"/>
      <c r="P131" s="15"/>
      <c r="Q131" s="15"/>
      <c r="R131" s="16"/>
      <c r="S131" s="34" t="s">
        <v>143</v>
      </c>
      <c r="T131" s="9"/>
      <c r="U131" s="9"/>
      <c r="V131" s="9"/>
    </row>
    <row r="132" spans="2:22">
      <c r="B132" s="34">
        <f t="shared" si="4"/>
        <v>130</v>
      </c>
      <c r="C132" s="18"/>
      <c r="D132" s="23"/>
      <c r="E132" s="19"/>
      <c r="F132" s="24"/>
      <c r="G132" s="30"/>
      <c r="H132" s="35" t="s">
        <v>257</v>
      </c>
      <c r="I132" s="15"/>
      <c r="J132" s="15"/>
      <c r="K132" s="15"/>
      <c r="L132" s="15"/>
      <c r="M132" s="15"/>
      <c r="N132" s="15"/>
      <c r="O132" s="15"/>
      <c r="P132" s="15"/>
      <c r="Q132" s="15"/>
      <c r="R132" s="16"/>
      <c r="S132" s="34" t="s">
        <v>143</v>
      </c>
      <c r="T132" s="36" t="s">
        <v>147</v>
      </c>
      <c r="U132" s="9"/>
      <c r="V132" s="9"/>
    </row>
    <row r="133" spans="2:22">
      <c r="B133" s="34">
        <f t="shared" si="4"/>
        <v>131</v>
      </c>
      <c r="C133" s="18"/>
      <c r="D133" s="23"/>
      <c r="E133" s="19"/>
      <c r="F133" s="24"/>
      <c r="G133" s="50" t="s">
        <v>153</v>
      </c>
      <c r="H133" s="44" t="s">
        <v>256</v>
      </c>
      <c r="I133" s="27"/>
      <c r="J133" s="27"/>
      <c r="K133" s="27"/>
      <c r="L133" s="27"/>
      <c r="M133" s="27"/>
      <c r="N133" s="27"/>
      <c r="O133" s="27"/>
      <c r="P133" s="27"/>
      <c r="Q133" s="27"/>
      <c r="R133" s="28"/>
      <c r="S133" s="45" t="s">
        <v>146</v>
      </c>
      <c r="T133" s="46" t="s">
        <v>147</v>
      </c>
      <c r="U133" s="29"/>
      <c r="V133" s="29"/>
    </row>
    <row r="134" spans="2:22">
      <c r="B134" s="34">
        <f t="shared" si="4"/>
        <v>132</v>
      </c>
      <c r="C134" s="18"/>
      <c r="D134" s="23"/>
      <c r="E134" s="19"/>
      <c r="F134" s="24"/>
      <c r="G134" s="30"/>
      <c r="H134" s="27"/>
      <c r="I134" s="50" t="s">
        <v>153</v>
      </c>
      <c r="J134" s="35" t="s">
        <v>154</v>
      </c>
      <c r="K134" s="15"/>
      <c r="L134" s="15"/>
      <c r="M134" s="15"/>
      <c r="N134" s="15"/>
      <c r="O134" s="15"/>
      <c r="P134" s="15"/>
      <c r="Q134" s="15"/>
      <c r="R134" s="16"/>
      <c r="S134" s="34" t="s">
        <v>143</v>
      </c>
      <c r="T134" s="36" t="s">
        <v>147</v>
      </c>
      <c r="U134" s="9"/>
      <c r="V134" s="9"/>
    </row>
    <row r="135" spans="2:22">
      <c r="B135" s="34">
        <f t="shared" si="4"/>
        <v>133</v>
      </c>
      <c r="C135" s="18"/>
      <c r="D135" s="23"/>
      <c r="E135" s="19"/>
      <c r="F135" s="24"/>
      <c r="G135" s="30"/>
      <c r="H135" s="27"/>
      <c r="I135" s="15"/>
      <c r="J135" s="47" t="s">
        <v>70</v>
      </c>
      <c r="K135" s="31"/>
      <c r="L135" s="31"/>
      <c r="M135" s="31"/>
      <c r="N135" s="31"/>
      <c r="O135" s="31"/>
      <c r="P135" s="31"/>
      <c r="Q135" s="31"/>
      <c r="R135" s="32"/>
      <c r="S135" s="48" t="s">
        <v>146</v>
      </c>
      <c r="T135" s="49" t="s">
        <v>147</v>
      </c>
      <c r="U135" s="33"/>
      <c r="V135" s="33"/>
    </row>
    <row r="136" spans="2:22">
      <c r="B136" s="34">
        <f t="shared" si="4"/>
        <v>134</v>
      </c>
      <c r="C136" s="18"/>
      <c r="D136" s="23"/>
      <c r="E136" s="19"/>
      <c r="F136" s="24"/>
      <c r="G136" s="30"/>
      <c r="H136" s="27"/>
      <c r="I136" s="15"/>
      <c r="J136" s="31"/>
      <c r="K136" s="50" t="s">
        <v>153</v>
      </c>
      <c r="L136" s="43" t="s">
        <v>146</v>
      </c>
      <c r="M136" s="15"/>
      <c r="N136" s="15"/>
      <c r="O136" s="15"/>
      <c r="P136" s="15"/>
      <c r="Q136" s="15"/>
      <c r="R136" s="16"/>
      <c r="S136" s="34" t="s">
        <v>143</v>
      </c>
      <c r="T136" s="9"/>
      <c r="U136" s="9"/>
      <c r="V136" s="9"/>
    </row>
    <row r="137" spans="2:22">
      <c r="B137" s="34">
        <f t="shared" si="4"/>
        <v>135</v>
      </c>
      <c r="C137" s="18"/>
      <c r="D137" s="23"/>
      <c r="E137" s="19"/>
      <c r="F137" s="24"/>
      <c r="G137" s="30"/>
      <c r="H137" s="27"/>
      <c r="I137" s="15"/>
      <c r="J137" s="31"/>
      <c r="K137" s="50" t="s">
        <v>153</v>
      </c>
      <c r="L137" s="43" t="s">
        <v>146</v>
      </c>
      <c r="M137" s="15"/>
      <c r="N137" s="15"/>
      <c r="O137" s="15"/>
      <c r="P137" s="15"/>
      <c r="Q137" s="15"/>
      <c r="R137" s="16"/>
      <c r="S137" s="34" t="s">
        <v>143</v>
      </c>
      <c r="T137" s="9"/>
      <c r="U137" s="9"/>
      <c r="V137" s="9"/>
    </row>
    <row r="138" spans="2:22">
      <c r="B138" s="34">
        <f t="shared" si="4"/>
        <v>136</v>
      </c>
      <c r="C138" s="18"/>
      <c r="D138" s="23"/>
      <c r="E138" s="19"/>
      <c r="F138" s="24"/>
      <c r="G138" s="30"/>
      <c r="H138" s="27"/>
      <c r="I138" s="50" t="s">
        <v>153</v>
      </c>
      <c r="J138" s="35" t="s">
        <v>154</v>
      </c>
      <c r="K138" s="15"/>
      <c r="L138" s="15"/>
      <c r="M138" s="15"/>
      <c r="N138" s="15"/>
      <c r="O138" s="15"/>
      <c r="P138" s="15"/>
      <c r="Q138" s="15"/>
      <c r="R138" s="16"/>
      <c r="S138" s="34" t="s">
        <v>143</v>
      </c>
      <c r="T138" s="36" t="s">
        <v>147</v>
      </c>
      <c r="U138" s="9"/>
      <c r="V138" s="9"/>
    </row>
    <row r="139" spans="2:22">
      <c r="B139" s="34">
        <f t="shared" si="4"/>
        <v>137</v>
      </c>
      <c r="C139" s="18"/>
      <c r="D139" s="23"/>
      <c r="E139" s="19"/>
      <c r="F139" s="24"/>
      <c r="G139" s="30"/>
      <c r="H139" s="27"/>
      <c r="I139" s="15"/>
      <c r="J139" s="47" t="s">
        <v>70</v>
      </c>
      <c r="K139" s="31"/>
      <c r="L139" s="31"/>
      <c r="M139" s="31"/>
      <c r="N139" s="31"/>
      <c r="O139" s="31"/>
      <c r="P139" s="31"/>
      <c r="Q139" s="31"/>
      <c r="R139" s="32"/>
      <c r="S139" s="48" t="s">
        <v>146</v>
      </c>
      <c r="T139" s="49" t="s">
        <v>147</v>
      </c>
      <c r="U139" s="33"/>
      <c r="V139" s="33"/>
    </row>
    <row r="140" spans="2:22">
      <c r="B140" s="34">
        <f t="shared" si="4"/>
        <v>138</v>
      </c>
      <c r="C140" s="18"/>
      <c r="D140" s="23"/>
      <c r="E140" s="19"/>
      <c r="F140" s="24"/>
      <c r="G140" s="30"/>
      <c r="H140" s="27"/>
      <c r="I140" s="15"/>
      <c r="J140" s="31"/>
      <c r="K140" s="50" t="s">
        <v>153</v>
      </c>
      <c r="L140" s="43" t="s">
        <v>146</v>
      </c>
      <c r="M140" s="15"/>
      <c r="N140" s="15"/>
      <c r="O140" s="15"/>
      <c r="P140" s="15"/>
      <c r="Q140" s="15"/>
      <c r="R140" s="16"/>
      <c r="S140" s="34" t="s">
        <v>143</v>
      </c>
      <c r="T140" s="9"/>
      <c r="U140" s="9"/>
      <c r="V140" s="9"/>
    </row>
    <row r="141" spans="2:22">
      <c r="B141" s="34">
        <f t="shared" si="4"/>
        <v>139</v>
      </c>
      <c r="C141" s="18"/>
      <c r="D141" s="23"/>
      <c r="E141" s="19"/>
      <c r="F141" s="24"/>
      <c r="G141" s="30"/>
      <c r="H141" s="27"/>
      <c r="I141" s="15"/>
      <c r="J141" s="31"/>
      <c r="K141" s="50" t="s">
        <v>153</v>
      </c>
      <c r="L141" s="43" t="s">
        <v>146</v>
      </c>
      <c r="M141" s="15"/>
      <c r="N141" s="15"/>
      <c r="O141" s="15"/>
      <c r="P141" s="15"/>
      <c r="Q141" s="15"/>
      <c r="R141" s="16"/>
      <c r="S141" s="34" t="s">
        <v>143</v>
      </c>
      <c r="T141" s="9"/>
      <c r="U141" s="9"/>
      <c r="V141" s="9"/>
    </row>
    <row r="142" spans="2:22">
      <c r="B142" s="34">
        <f t="shared" si="4"/>
        <v>140</v>
      </c>
      <c r="C142" s="18"/>
      <c r="D142" s="23"/>
      <c r="E142" s="19"/>
      <c r="F142" s="24"/>
      <c r="G142" s="30"/>
      <c r="H142" s="35" t="s">
        <v>257</v>
      </c>
      <c r="I142" s="15"/>
      <c r="J142" s="15"/>
      <c r="K142" s="15"/>
      <c r="L142" s="15"/>
      <c r="M142" s="15"/>
      <c r="N142" s="15"/>
      <c r="O142" s="15"/>
      <c r="P142" s="15"/>
      <c r="Q142" s="15"/>
      <c r="R142" s="16"/>
      <c r="S142" s="34" t="s">
        <v>143</v>
      </c>
      <c r="T142" s="36" t="s">
        <v>147</v>
      </c>
      <c r="U142" s="9"/>
      <c r="V142" s="9"/>
    </row>
    <row r="143" spans="2:22">
      <c r="B143" s="34">
        <f t="shared" si="4"/>
        <v>141</v>
      </c>
      <c r="C143" s="18"/>
      <c r="D143" s="23"/>
      <c r="E143" s="19"/>
      <c r="F143" s="35" t="s">
        <v>180</v>
      </c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6"/>
      <c r="S143" s="34" t="s">
        <v>143</v>
      </c>
      <c r="T143" s="36" t="s">
        <v>147</v>
      </c>
      <c r="U143" s="9"/>
      <c r="V143" s="9"/>
    </row>
    <row r="144" spans="2:22">
      <c r="B144" s="34">
        <f t="shared" si="4"/>
        <v>142</v>
      </c>
      <c r="C144" s="18"/>
      <c r="D144" s="23"/>
      <c r="E144" s="19"/>
      <c r="F144" s="40" t="s">
        <v>2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5"/>
      <c r="S144" s="41" t="s">
        <v>146</v>
      </c>
      <c r="T144" s="42" t="s">
        <v>147</v>
      </c>
      <c r="U144" s="26"/>
      <c r="V144" s="26"/>
    </row>
    <row r="145" spans="2:22">
      <c r="B145" s="34">
        <f t="shared" si="4"/>
        <v>143</v>
      </c>
      <c r="C145" s="18"/>
      <c r="D145" s="23"/>
      <c r="E145" s="19"/>
      <c r="F145" s="24"/>
      <c r="G145" s="50" t="s">
        <v>153</v>
      </c>
      <c r="H145" s="35" t="s">
        <v>154</v>
      </c>
      <c r="I145" s="15"/>
      <c r="J145" s="15"/>
      <c r="K145" s="15"/>
      <c r="L145" s="15"/>
      <c r="M145" s="15"/>
      <c r="N145" s="15"/>
      <c r="O145" s="15"/>
      <c r="P145" s="15"/>
      <c r="Q145" s="15"/>
      <c r="R145" s="16"/>
      <c r="S145" s="34" t="s">
        <v>143</v>
      </c>
      <c r="T145" s="36" t="s">
        <v>147</v>
      </c>
      <c r="U145" s="9"/>
      <c r="V145" s="9"/>
    </row>
    <row r="146" spans="2:22">
      <c r="B146" s="34">
        <f t="shared" si="4"/>
        <v>144</v>
      </c>
      <c r="C146" s="18"/>
      <c r="D146" s="23"/>
      <c r="E146" s="19"/>
      <c r="F146" s="24"/>
      <c r="G146" s="15"/>
      <c r="H146" s="35" t="s">
        <v>70</v>
      </c>
      <c r="I146" s="15"/>
      <c r="J146" s="15"/>
      <c r="K146" s="15"/>
      <c r="L146" s="15"/>
      <c r="M146" s="15"/>
      <c r="N146" s="15"/>
      <c r="O146" s="15"/>
      <c r="P146" s="15"/>
      <c r="Q146" s="15"/>
      <c r="R146" s="16"/>
      <c r="S146" s="34" t="s">
        <v>143</v>
      </c>
      <c r="T146" s="36" t="s">
        <v>147</v>
      </c>
      <c r="U146" s="9"/>
      <c r="V146" s="9"/>
    </row>
    <row r="147" spans="2:22">
      <c r="B147" s="34">
        <f t="shared" si="4"/>
        <v>145</v>
      </c>
      <c r="C147" s="18"/>
      <c r="D147" s="23"/>
      <c r="E147" s="19"/>
      <c r="F147" s="24"/>
      <c r="G147" s="50" t="s">
        <v>153</v>
      </c>
      <c r="H147" s="35" t="s">
        <v>154</v>
      </c>
      <c r="I147" s="15"/>
      <c r="J147" s="15"/>
      <c r="K147" s="15"/>
      <c r="L147" s="15"/>
      <c r="M147" s="15"/>
      <c r="N147" s="15"/>
      <c r="O147" s="15"/>
      <c r="P147" s="15"/>
      <c r="Q147" s="15"/>
      <c r="R147" s="16"/>
      <c r="S147" s="34" t="s">
        <v>143</v>
      </c>
      <c r="T147" s="36" t="s">
        <v>147</v>
      </c>
      <c r="U147" s="9"/>
      <c r="V147" s="9"/>
    </row>
    <row r="148" spans="2:22">
      <c r="B148" s="34">
        <f t="shared" si="4"/>
        <v>146</v>
      </c>
      <c r="C148" s="18"/>
      <c r="D148" s="23"/>
      <c r="E148" s="19"/>
      <c r="F148" s="24"/>
      <c r="G148" s="15"/>
      <c r="H148" s="35" t="s">
        <v>70</v>
      </c>
      <c r="I148" s="15"/>
      <c r="J148" s="15"/>
      <c r="K148" s="15"/>
      <c r="L148" s="15"/>
      <c r="M148" s="15"/>
      <c r="N148" s="15"/>
      <c r="O148" s="15"/>
      <c r="P148" s="15"/>
      <c r="Q148" s="15"/>
      <c r="R148" s="16"/>
      <c r="S148" s="34" t="s">
        <v>143</v>
      </c>
      <c r="T148" s="36" t="s">
        <v>147</v>
      </c>
      <c r="U148" s="9"/>
      <c r="V148" s="9"/>
    </row>
    <row r="149" spans="2:22">
      <c r="B149" s="34">
        <f t="shared" si="4"/>
        <v>147</v>
      </c>
      <c r="C149" s="18"/>
      <c r="D149" s="23"/>
      <c r="E149" s="19"/>
      <c r="F149" s="35" t="s">
        <v>258</v>
      </c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6"/>
      <c r="S149" s="34" t="s">
        <v>143</v>
      </c>
      <c r="T149" s="36" t="s">
        <v>147</v>
      </c>
      <c r="U149" s="9"/>
      <c r="V149" s="9"/>
    </row>
    <row r="150" spans="2:22">
      <c r="B150" s="34">
        <f t="shared" si="4"/>
        <v>148</v>
      </c>
      <c r="C150" s="18"/>
      <c r="D150" s="23"/>
      <c r="E150" s="19"/>
      <c r="F150" s="35" t="s">
        <v>259</v>
      </c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6"/>
      <c r="S150" s="34" t="s">
        <v>143</v>
      </c>
      <c r="T150" s="36" t="s">
        <v>147</v>
      </c>
      <c r="U150" s="9"/>
      <c r="V150" s="9"/>
    </row>
    <row r="151" spans="2:22">
      <c r="B151" s="34">
        <f t="shared" si="4"/>
        <v>149</v>
      </c>
      <c r="C151" s="18"/>
      <c r="D151" s="23"/>
      <c r="E151" s="19"/>
      <c r="F151" s="40" t="s">
        <v>78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5"/>
      <c r="S151" s="41" t="s">
        <v>146</v>
      </c>
      <c r="T151" s="42" t="s">
        <v>147</v>
      </c>
      <c r="U151" s="26"/>
      <c r="V151" s="26"/>
    </row>
    <row r="152" spans="2:22">
      <c r="B152" s="34">
        <f t="shared" si="4"/>
        <v>150</v>
      </c>
      <c r="C152" s="18"/>
      <c r="D152" s="23"/>
      <c r="E152" s="19"/>
      <c r="F152" s="24"/>
      <c r="G152" s="50" t="s">
        <v>153</v>
      </c>
      <c r="H152" s="35" t="s">
        <v>260</v>
      </c>
      <c r="I152" s="15"/>
      <c r="J152" s="15"/>
      <c r="K152" s="15"/>
      <c r="L152" s="15"/>
      <c r="M152" s="15"/>
      <c r="N152" s="15"/>
      <c r="O152" s="15"/>
      <c r="P152" s="15"/>
      <c r="Q152" s="15"/>
      <c r="R152" s="16"/>
      <c r="S152" s="34" t="s">
        <v>143</v>
      </c>
      <c r="T152" s="36" t="s">
        <v>147</v>
      </c>
      <c r="U152" s="9"/>
      <c r="V152" s="9"/>
    </row>
    <row r="153" spans="2:22">
      <c r="B153" s="34">
        <f t="shared" si="4"/>
        <v>151</v>
      </c>
      <c r="C153" s="18"/>
      <c r="D153" s="23"/>
      <c r="E153" s="19"/>
      <c r="F153" s="24"/>
      <c r="G153" s="15"/>
      <c r="H153" s="35" t="s">
        <v>261</v>
      </c>
      <c r="I153" s="15"/>
      <c r="J153" s="15"/>
      <c r="K153" s="15"/>
      <c r="L153" s="15"/>
      <c r="M153" s="15"/>
      <c r="N153" s="15"/>
      <c r="O153" s="15"/>
      <c r="P153" s="15"/>
      <c r="Q153" s="15"/>
      <c r="R153" s="16"/>
      <c r="S153" s="34" t="s">
        <v>143</v>
      </c>
      <c r="T153" s="36" t="s">
        <v>147</v>
      </c>
      <c r="U153" s="9"/>
      <c r="V153" s="9"/>
    </row>
    <row r="154" spans="2:22">
      <c r="B154" s="34">
        <f t="shared" si="4"/>
        <v>152</v>
      </c>
      <c r="C154" s="18"/>
      <c r="D154" s="23"/>
      <c r="E154" s="19"/>
      <c r="F154" s="24"/>
      <c r="G154" s="50" t="s">
        <v>153</v>
      </c>
      <c r="H154" s="35" t="s">
        <v>260</v>
      </c>
      <c r="I154" s="15"/>
      <c r="J154" s="15"/>
      <c r="K154" s="15"/>
      <c r="L154" s="15"/>
      <c r="M154" s="15"/>
      <c r="N154" s="15"/>
      <c r="O154" s="15"/>
      <c r="P154" s="15"/>
      <c r="Q154" s="15"/>
      <c r="R154" s="16"/>
      <c r="S154" s="34" t="s">
        <v>143</v>
      </c>
      <c r="T154" s="36" t="s">
        <v>147</v>
      </c>
      <c r="U154" s="9"/>
      <c r="V154" s="9"/>
    </row>
    <row r="155" spans="2:22">
      <c r="B155" s="34">
        <f t="shared" si="4"/>
        <v>153</v>
      </c>
      <c r="C155" s="18"/>
      <c r="D155" s="23"/>
      <c r="E155" s="19"/>
      <c r="F155" s="24"/>
      <c r="G155" s="15"/>
      <c r="H155" s="35" t="s">
        <v>261</v>
      </c>
      <c r="I155" s="15"/>
      <c r="J155" s="15"/>
      <c r="K155" s="15"/>
      <c r="L155" s="15"/>
      <c r="M155" s="15"/>
      <c r="N155" s="15"/>
      <c r="O155" s="15"/>
      <c r="P155" s="15"/>
      <c r="Q155" s="15"/>
      <c r="R155" s="16"/>
      <c r="S155" s="34" t="s">
        <v>143</v>
      </c>
      <c r="T155" s="36" t="s">
        <v>147</v>
      </c>
      <c r="U155" s="9"/>
      <c r="V155" s="9"/>
    </row>
  </sheetData>
  <phoneticPr fontId="1"/>
  <hyperlinks>
    <hyperlink ref="T4" r:id="rId1" tooltip="http://docs.aws.amazon.com/AWSCloudFormation/latest/UserGuide/aws-properties-ec2-instance.html" xr:uid="{0327FB6B-BE0B-4CE5-82A3-BA67B5B82063}"/>
    <hyperlink ref="T6" r:id="rId2" location="cfn-ec2-instance-additionalinfo" tooltip="http://docs.aws.amazon.com/AWSCloudFormation/latest/UserGuide/aws-properties-ec2-instance.html#cfn-ec2-instance-additionalinfo" xr:uid="{0DE5FE17-2276-40ED-A1AB-2F488AE99EE8}"/>
    <hyperlink ref="T7" r:id="rId3" location="cfn-ec2-instance-affinity" tooltip="http://docs.aws.amazon.com/AWSCloudFormation/latest/UserGuide/aws-properties-ec2-instance.html#cfn-ec2-instance-affinity" xr:uid="{A6D7E11F-E4E9-42DB-9631-D573BBF33D4F}"/>
    <hyperlink ref="T8" r:id="rId4" location="cfn-ec2-instance-availabilityzone" tooltip="http://docs.aws.amazon.com/AWSCloudFormation/latest/UserGuide/aws-properties-ec2-instance.html#cfn-ec2-instance-availabilityzone" xr:uid="{9B28935A-73ED-4109-9FA7-2DB7C4A076FB}"/>
    <hyperlink ref="T9" r:id="rId5" location="cfn-ec2-instance-blockdevicemappings" tooltip="http://docs.aws.amazon.com/AWSCloudFormation/latest/UserGuide/aws-properties-ec2-instance.html#cfn-ec2-instance-blockdevicemappings" xr:uid="{6649EC7B-F5D7-4A24-8C0E-1645222F0009}"/>
    <hyperlink ref="T10" r:id="rId6" location="cfn-ec2-blockdev-mapping-devicename" tooltip="http://docs.aws.amazon.com/AWSCloudFormation/latest/UserGuide/aws-properties-ec2-blockdev-mapping.html#cfn-ec2-blockdev-mapping-devicename" xr:uid="{77A54434-6876-49B5-86F0-1D9254C5C069}"/>
    <hyperlink ref="T11" r:id="rId7" location="cfn-ec2-blockdev-mapping-ebs" tooltip="http://docs.aws.amazon.com/AWSCloudFormation/latest/UserGuide/aws-properties-ec2-blockdev-mapping.html#cfn-ec2-blockdev-mapping-ebs" xr:uid="{1BF80DF1-B934-4EF3-9DFA-4497E38EA279}"/>
    <hyperlink ref="T12" r:id="rId8" location="cfn-ec2-blockdev-template-deleteontermination" tooltip="http://docs.aws.amazon.com/AWSCloudFormation/latest/UserGuide/aws-properties-ec2-blockdev-template.html#cfn-ec2-blockdev-template-deleteontermination" xr:uid="{91B34E1C-4C4B-4EFA-8B93-D2DCCB728E78}"/>
    <hyperlink ref="T13" r:id="rId9" location="cfn-ec2-blockdev-template-encrypted" tooltip="http://docs.aws.amazon.com/AWSCloudFormation/latest/UserGuide/aws-properties-ec2-blockdev-template.html#cfn-ec2-blockdev-template-encrypted" xr:uid="{F53CA4BD-5F36-4813-A65C-68FA772443C6}"/>
    <hyperlink ref="T14" r:id="rId10" location="cfn-ec2-blockdev-template-iops" tooltip="http://docs.aws.amazon.com/AWSCloudFormation/latest/UserGuide/aws-properties-ec2-blockdev-template.html#cfn-ec2-blockdev-template-iops" xr:uid="{15ADAF6E-D593-492D-94C8-FDB9664133DC}"/>
    <hyperlink ref="T15" r:id="rId11" location="cfn-ec2-instance-ebs-kmskeyid" tooltip="http://docs.aws.amazon.com/AWSCloudFormation/latest/UserGuide/aws-properties-ec2-blockdev-template.html#cfn-ec2-instance-ebs-kmskeyid" xr:uid="{59E4DC28-7D91-4ED6-BF7C-50720A839928}"/>
    <hyperlink ref="T16" r:id="rId12" location="cfn-ec2-blockdev-template-snapshotid" tooltip="http://docs.aws.amazon.com/AWSCloudFormation/latest/UserGuide/aws-properties-ec2-blockdev-template.html#cfn-ec2-blockdev-template-snapshotid" xr:uid="{329D5217-F13C-4252-B8FB-172EBD4B3057}"/>
    <hyperlink ref="T17" r:id="rId13" location="cfn-ec2-blockdev-template-volumesize" tooltip="http://docs.aws.amazon.com/AWSCloudFormation/latest/UserGuide/aws-properties-ec2-blockdev-template.html#cfn-ec2-blockdev-template-volumesize" xr:uid="{9E036175-ED4B-4D6D-8CEA-E243D93700E2}"/>
    <hyperlink ref="T18" r:id="rId14" location="cfn-ec2-blockdev-template-volumetype" tooltip="http://docs.aws.amazon.com/AWSCloudFormation/latest/UserGuide/aws-properties-ec2-blockdev-template.html#cfn-ec2-blockdev-template-volumetype" xr:uid="{A59C9236-1ED9-4854-8EBC-F3643C2DB2C1}"/>
    <hyperlink ref="T19" r:id="rId15" location="cfn-ec2-blockdev-mapping-nodevice" tooltip="http://docs.aws.amazon.com/AWSCloudFormation/latest/UserGuide/aws-properties-ec2-blockdev-mapping.html#cfn-ec2-blockdev-mapping-nodevice" xr:uid="{3FC184AB-0614-43B1-ACCA-58BE28601D5A}"/>
    <hyperlink ref="T20" r:id="rId16" location="cfn-ec2-blockdev-mapping-virtualname" tooltip="http://docs.aws.amazon.com/AWSCloudFormation/latest/UserGuide/aws-properties-ec2-blockdev-mapping.html#cfn-ec2-blockdev-mapping-virtualname" xr:uid="{28325353-569A-4A76-B68F-E3585D6B8F09}"/>
    <hyperlink ref="T21" r:id="rId17" location="cfn-ec2-blockdev-mapping-devicename" tooltip="http://docs.aws.amazon.com/AWSCloudFormation/latest/UserGuide/aws-properties-ec2-blockdev-mapping.html#cfn-ec2-blockdev-mapping-devicename" xr:uid="{E5F04BF8-8894-4BAD-86CA-025EC540DCC6}"/>
    <hyperlink ref="T22" r:id="rId18" location="cfn-ec2-blockdev-mapping-ebs" tooltip="http://docs.aws.amazon.com/AWSCloudFormation/latest/UserGuide/aws-properties-ec2-blockdev-mapping.html#cfn-ec2-blockdev-mapping-ebs" xr:uid="{A86A4878-D1B3-4561-ABC0-4FCD693C4345}"/>
    <hyperlink ref="T23" r:id="rId19" location="cfn-ec2-blockdev-template-deleteontermination" tooltip="http://docs.aws.amazon.com/AWSCloudFormation/latest/UserGuide/aws-properties-ec2-blockdev-template.html#cfn-ec2-blockdev-template-deleteontermination" xr:uid="{3C048B8E-ED7B-424F-9C8F-45C608851807}"/>
    <hyperlink ref="T24" r:id="rId20" location="cfn-ec2-blockdev-template-encrypted" tooltip="http://docs.aws.amazon.com/AWSCloudFormation/latest/UserGuide/aws-properties-ec2-blockdev-template.html#cfn-ec2-blockdev-template-encrypted" xr:uid="{EC2EBD7C-A9AC-47F5-A752-0240B6487D7C}"/>
    <hyperlink ref="T25" r:id="rId21" location="cfn-ec2-blockdev-template-iops" tooltip="http://docs.aws.amazon.com/AWSCloudFormation/latest/UserGuide/aws-properties-ec2-blockdev-template.html#cfn-ec2-blockdev-template-iops" xr:uid="{CEDA4806-AEF2-4ACE-9D51-80BCB25AA41B}"/>
    <hyperlink ref="T26" r:id="rId22" location="cfn-ec2-instance-ebs-kmskeyid" tooltip="http://docs.aws.amazon.com/AWSCloudFormation/latest/UserGuide/aws-properties-ec2-blockdev-template.html#cfn-ec2-instance-ebs-kmskeyid" xr:uid="{63C40A72-D1B0-4891-AC28-891D01EF6588}"/>
    <hyperlink ref="T27" r:id="rId23" location="cfn-ec2-blockdev-template-snapshotid" tooltip="http://docs.aws.amazon.com/AWSCloudFormation/latest/UserGuide/aws-properties-ec2-blockdev-template.html#cfn-ec2-blockdev-template-snapshotid" xr:uid="{3E6A89D2-023C-48A1-AA87-82F4265C104F}"/>
    <hyperlink ref="T28" r:id="rId24" location="cfn-ec2-blockdev-template-volumesize" tooltip="http://docs.aws.amazon.com/AWSCloudFormation/latest/UserGuide/aws-properties-ec2-blockdev-template.html#cfn-ec2-blockdev-template-volumesize" xr:uid="{9A3EC87D-41AF-4AC1-BF03-D12616B6C1BF}"/>
    <hyperlink ref="T29" r:id="rId25" location="cfn-ec2-blockdev-template-volumetype" tooltip="http://docs.aws.amazon.com/AWSCloudFormation/latest/UserGuide/aws-properties-ec2-blockdev-template.html#cfn-ec2-blockdev-template-volumetype" xr:uid="{59CF41A4-B8D5-4608-B3B6-DE91189DEC66}"/>
    <hyperlink ref="T30" r:id="rId26" location="cfn-ec2-blockdev-mapping-nodevice" tooltip="http://docs.aws.amazon.com/AWSCloudFormation/latest/UserGuide/aws-properties-ec2-blockdev-mapping.html#cfn-ec2-blockdev-mapping-nodevice" xr:uid="{9D1B8543-A72A-44B5-A555-E0C26578BF76}"/>
    <hyperlink ref="T31" r:id="rId27" location="cfn-ec2-blockdev-mapping-virtualname" tooltip="http://docs.aws.amazon.com/AWSCloudFormation/latest/UserGuide/aws-properties-ec2-blockdev-mapping.html#cfn-ec2-blockdev-mapping-virtualname" xr:uid="{738F3A10-0FCA-49EE-9AB7-F11C7AFA1666}"/>
    <hyperlink ref="T32" r:id="rId28" location="cfn-ec2-instance-cpuoptions" tooltip="http://docs.aws.amazon.com/AWSCloudFormation/latest/UserGuide/aws-properties-ec2-instance.html#cfn-ec2-instance-cpuoptions" xr:uid="{0522DB0B-BB4A-460B-9F7A-79EA398786BC}"/>
    <hyperlink ref="T33" r:id="rId29" location="cfn-ec2-instance-cpuoptions-corecount" tooltip="http://docs.aws.amazon.com/AWSCloudFormation/latest/UserGuide/aws-properties-ec2-instance-cpuoptions.html#cfn-ec2-instance-cpuoptions-corecount" xr:uid="{2FDF8539-BBAC-44DC-B0B9-224EEAFBC076}"/>
    <hyperlink ref="T34" r:id="rId30" location="cfn-ec2-instance-cpuoptions-threadspercore" tooltip="http://docs.aws.amazon.com/AWSCloudFormation/latest/UserGuide/aws-properties-ec2-instance-cpuoptions.html#cfn-ec2-instance-cpuoptions-threadspercore" xr:uid="{D5DD2452-9116-4987-BC02-B0EC6CBE0571}"/>
    <hyperlink ref="T35" r:id="rId31" location="cfn-ec2-instance-creditspecification" tooltip="http://docs.aws.amazon.com/AWSCloudFormation/latest/UserGuide/aws-properties-ec2-instance.html#cfn-ec2-instance-creditspecification" xr:uid="{32D6636C-10F5-4234-82CE-423A7327737C}"/>
    <hyperlink ref="T36" r:id="rId32" location="cfn-ec2-instance-creditspecification-cpucredits" tooltip="http://docs.aws.amazon.com/AWSCloudFormation/latest/UserGuide/aws-properties-ec2-instance-creditspecification.html#cfn-ec2-instance-creditspecification-cpucredits" xr:uid="{9782138F-4861-4D30-A5A7-0FC4A27043C4}"/>
    <hyperlink ref="T37" r:id="rId33" location="cfn-ec2-instance-disableapitermination" tooltip="http://docs.aws.amazon.com/AWSCloudFormation/latest/UserGuide/aws-properties-ec2-instance.html#cfn-ec2-instance-disableapitermination" xr:uid="{0ABDC9A5-C065-4BDD-AEE0-7FA445BBF473}"/>
    <hyperlink ref="T38" r:id="rId34" location="cfn-ec2-instance-ebsoptimized" tooltip="http://docs.aws.amazon.com/AWSCloudFormation/latest/UserGuide/aws-properties-ec2-instance.html#cfn-ec2-instance-ebsoptimized" xr:uid="{EE2F4AF6-8FBB-4539-8452-9CF2B7D29525}"/>
    <hyperlink ref="T39" r:id="rId35" location="cfn-ec2-instance-elasticgpuspecifications" tooltip="http://docs.aws.amazon.com/AWSCloudFormation/latest/UserGuide/aws-properties-ec2-instance.html#cfn-ec2-instance-elasticgpuspecifications" xr:uid="{F29B614A-AFEE-44F9-AB85-312847951AAD}"/>
    <hyperlink ref="T40" r:id="rId36" location="cfn-ec2-instance-elasticgpuspecification-type" tooltip="http://docs.aws.amazon.com/AWSCloudFormation/latest/UserGuide/aws-properties-ec2-instance-elasticgpuspecification.html#cfn-ec2-instance-elasticgpuspecification-type" xr:uid="{22035790-D270-45C5-8491-AF8CD2B233BB}"/>
    <hyperlink ref="T41" r:id="rId37" location="cfn-ec2-instance-elasticgpuspecification-type" tooltip="http://docs.aws.amazon.com/AWSCloudFormation/latest/UserGuide/aws-properties-ec2-instance-elasticgpuspecification.html#cfn-ec2-instance-elasticgpuspecification-type" xr:uid="{BC83D8FF-4FA0-4373-B6CE-830FE0DFDC2C}"/>
    <hyperlink ref="T42" r:id="rId38" location="cfn-ec2-instance-elasticinferenceaccelerators" tooltip="http://docs.aws.amazon.com/AWSCloudFormation/latest/UserGuide/aws-properties-ec2-instance.html#cfn-ec2-instance-elasticinferenceaccelerators" xr:uid="{078EB06B-7796-4D2D-9006-08DD14872F8C}"/>
    <hyperlink ref="T43" r:id="rId39" location="cfn-ec2-instance-elasticinferenceaccelerator-count" tooltip="http://docs.aws.amazon.com/AWSCloudFormation/latest/UserGuide/aws-properties-ec2-instance-elasticinferenceaccelerator.html#cfn-ec2-instance-elasticinferenceaccelerator-count" xr:uid="{03D93851-5506-4FB1-8A3B-08B94E2F2A94}"/>
    <hyperlink ref="T44" r:id="rId40" location="cfn-ec2-instance-elasticinferenceaccelerator-type" tooltip="http://docs.aws.amazon.com/AWSCloudFormation/latest/UserGuide/aws-properties-ec2-instance-elasticinferenceaccelerator.html#cfn-ec2-instance-elasticinferenceaccelerator-type" xr:uid="{45B85DF8-8153-4C50-97BA-31FF4E7066B8}"/>
    <hyperlink ref="T45" r:id="rId41" location="cfn-ec2-instance-elasticinferenceaccelerator-count" tooltip="http://docs.aws.amazon.com/AWSCloudFormation/latest/UserGuide/aws-properties-ec2-instance-elasticinferenceaccelerator.html#cfn-ec2-instance-elasticinferenceaccelerator-count" xr:uid="{995525AE-D736-4EBC-8C48-5FFC15FD57DC}"/>
    <hyperlink ref="T46" r:id="rId42" location="cfn-ec2-instance-elasticinferenceaccelerator-type" tooltip="http://docs.aws.amazon.com/AWSCloudFormation/latest/UserGuide/aws-properties-ec2-instance-elasticinferenceaccelerator.html#cfn-ec2-instance-elasticinferenceaccelerator-type" xr:uid="{68E95EB4-46A7-4EBA-803A-E4679F00F59E}"/>
    <hyperlink ref="T47" r:id="rId43" location="cfn-ec2-instance-enclaveoptions" tooltip="http://docs.aws.amazon.com/AWSCloudFormation/latest/UserGuide/aws-properties-ec2-instance.html#cfn-ec2-instance-enclaveoptions" xr:uid="{0CC7222A-9801-4E77-8433-051784EBA64A}"/>
    <hyperlink ref="T48" r:id="rId44" location="cfn-ec2-instance-enclaveoptions-enabled" tooltip="http://docs.aws.amazon.com/AWSCloudFormation/latest/UserGuide/aws-properties-ec2-instance-enclaveoptions.html#cfn-ec2-instance-enclaveoptions-enabled" xr:uid="{2579409B-18E7-4A7C-9FCF-5061CC4C15E8}"/>
    <hyperlink ref="T49" r:id="rId45" location="cfn-ec2-instance-hibernationoptions" tooltip="http://docs.aws.amazon.com/AWSCloudFormation/latest/UserGuide/aws-properties-ec2-instance.html#cfn-ec2-instance-hibernationoptions" xr:uid="{3C9287C8-3F75-48BD-9871-20F5F3950E34}"/>
    <hyperlink ref="T50" r:id="rId46" location="cfn-ec2-instance-hibernationoptions-configured" tooltip="http://docs.aws.amazon.com/AWSCloudFormation/latest/UserGuide/aws-properties-ec2-instance-hibernationoptions.html#cfn-ec2-instance-hibernationoptions-configured" xr:uid="{38C07A92-C15C-4954-8027-A56A8C792774}"/>
    <hyperlink ref="T51" r:id="rId47" location="cfn-ec2-instance-hostid" tooltip="http://docs.aws.amazon.com/AWSCloudFormation/latest/UserGuide/aws-properties-ec2-instance.html#cfn-ec2-instance-hostid" xr:uid="{0A8BAF36-AD27-4C64-AB8E-20B6BA4B5CC8}"/>
    <hyperlink ref="T52" r:id="rId48" location="cfn-ec2-instance-hostresourcegrouparn" tooltip="http://docs.aws.amazon.com/AWSCloudFormation/latest/UserGuide/aws-properties-ec2-instance.html#cfn-ec2-instance-hostresourcegrouparn" xr:uid="{C55CC585-8B78-4151-99E6-F894942C25B3}"/>
    <hyperlink ref="T53" r:id="rId49" location="cfn-ec2-instance-iaminstanceprofile" tooltip="http://docs.aws.amazon.com/AWSCloudFormation/latest/UserGuide/aws-properties-ec2-instance.html#cfn-ec2-instance-iaminstanceprofile" xr:uid="{B91B47AE-1A89-4816-BED8-282DE1E71D23}"/>
    <hyperlink ref="T54" r:id="rId50" location="cfn-ec2-instance-imageid" tooltip="http://docs.aws.amazon.com/AWSCloudFormation/latest/UserGuide/aws-properties-ec2-instance.html#cfn-ec2-instance-imageid" xr:uid="{00264CD2-4A9D-498C-B048-8123715F4D40}"/>
    <hyperlink ref="T55" r:id="rId51" location="cfn-ec2-instance-instanceinitiatedshutdownbehavior" tooltip="http://docs.aws.amazon.com/AWSCloudFormation/latest/UserGuide/aws-properties-ec2-instance.html#cfn-ec2-instance-instanceinitiatedshutdownbehavior" xr:uid="{D6CAB7BC-98BF-49D6-84E8-D3AC78689EC1}"/>
    <hyperlink ref="T56" r:id="rId52" location="cfn-ec2-instance-instancetype" tooltip="http://docs.aws.amazon.com/AWSCloudFormation/latest/UserGuide/aws-properties-ec2-instance.html#cfn-ec2-instance-instancetype" xr:uid="{372B8FB4-AC9D-47BD-9465-FE9715408606}"/>
    <hyperlink ref="T57" r:id="rId53" location="cfn-ec2-instance-ipv6addresscount" tooltip="http://docs.aws.amazon.com/AWSCloudFormation/latest/UserGuide/aws-properties-ec2-instance.html#cfn-ec2-instance-ipv6addresscount" xr:uid="{132ED435-C884-491F-BD59-E18665952FBD}"/>
    <hyperlink ref="T58" r:id="rId54" location="cfn-ec2-instance-ipv6addresses" tooltip="http://docs.aws.amazon.com/AWSCloudFormation/latest/UserGuide/aws-properties-ec2-instance.html#cfn-ec2-instance-ipv6addresses" xr:uid="{CB348878-BE84-464B-B575-6C34E06EFC56}"/>
    <hyperlink ref="T59" r:id="rId55" location="cfn-ec2-instance-instanceipv6address-ipv6address" tooltip="http://docs.aws.amazon.com/AWSCloudFormation/latest/UserGuide/aws-properties-ec2-instance-instanceipv6address.html#cfn-ec2-instance-instanceipv6address-ipv6address" xr:uid="{A0991E7D-A19C-4918-A4AD-C54785FD673C}"/>
    <hyperlink ref="T60" r:id="rId56" location="cfn-ec2-instance-instanceipv6address-ipv6address" tooltip="http://docs.aws.amazon.com/AWSCloudFormation/latest/UserGuide/aws-properties-ec2-instance-instanceipv6address.html#cfn-ec2-instance-instanceipv6address-ipv6address" xr:uid="{E6F0D8D7-E3F6-4E8F-8B68-9D934109DF37}"/>
    <hyperlink ref="T61" r:id="rId57" location="cfn-ec2-instance-kernelid" tooltip="http://docs.aws.amazon.com/AWSCloudFormation/latest/UserGuide/aws-properties-ec2-instance.html#cfn-ec2-instance-kernelid" xr:uid="{977E62FA-6770-4856-B64C-85C168EBD5E8}"/>
    <hyperlink ref="T62" r:id="rId58" location="cfn-ec2-instance-keyname" tooltip="http://docs.aws.amazon.com/AWSCloudFormation/latest/UserGuide/aws-properties-ec2-instance.html#cfn-ec2-instance-keyname" xr:uid="{2727F89B-4578-4DF8-9A04-B488F4962AD2}"/>
    <hyperlink ref="T63" r:id="rId59" location="cfn-ec2-instance-launchtemplate" tooltip="http://docs.aws.amazon.com/AWSCloudFormation/latest/UserGuide/aws-properties-ec2-instance.html#cfn-ec2-instance-launchtemplate" xr:uid="{F2118CC2-80D4-4FA7-A265-440E51E01FDD}"/>
    <hyperlink ref="T64" r:id="rId60" location="cfn-ec2-instance-launchtemplatespecification-launchtemplateid" tooltip="http://docs.aws.amazon.com/AWSCloudFormation/latest/UserGuide/aws-properties-ec2-instance-launchtemplatespecification.html#cfn-ec2-instance-launchtemplatespecification-launchtemplateid" xr:uid="{7F7BFFBE-6E9A-4C8B-941F-AC3BFED08522}"/>
    <hyperlink ref="T65" r:id="rId61" location="cfn-ec2-instance-launchtemplatespecification-launchtemplatename" tooltip="http://docs.aws.amazon.com/AWSCloudFormation/latest/UserGuide/aws-properties-ec2-instance-launchtemplatespecification.html#cfn-ec2-instance-launchtemplatespecification-launchtemplatename" xr:uid="{5D18BFC0-FB79-4DAB-81F6-8F3D6C976B26}"/>
    <hyperlink ref="T66" r:id="rId62" location="cfn-ec2-instance-launchtemplatespecification-version" tooltip="http://docs.aws.amazon.com/AWSCloudFormation/latest/UserGuide/aws-properties-ec2-instance-launchtemplatespecification.html#cfn-ec2-instance-launchtemplatespecification-version" xr:uid="{080506FC-DF5E-46DE-B4B3-99A767465827}"/>
    <hyperlink ref="T67" r:id="rId63" location="cfn-ec2-instance-licensespecifications" tooltip="http://docs.aws.amazon.com/AWSCloudFormation/latest/UserGuide/aws-properties-ec2-instance.html#cfn-ec2-instance-licensespecifications" xr:uid="{69E77A06-3C9A-4CB7-8180-CC349534B688}"/>
    <hyperlink ref="T68" r:id="rId64" location="cfn-ec2-instance-licensespecification-licenseconfigurationarn" tooltip="http://docs.aws.amazon.com/AWSCloudFormation/latest/UserGuide/aws-properties-ec2-instance-licensespecification.html#cfn-ec2-instance-licensespecification-licenseconfigurationarn" xr:uid="{7D5FBA2A-CD13-44B4-A0DB-0E38C802DE83}"/>
    <hyperlink ref="T69" r:id="rId65" location="cfn-ec2-instance-licensespecification-licenseconfigurationarn" tooltip="http://docs.aws.amazon.com/AWSCloudFormation/latest/UserGuide/aws-properties-ec2-instance-licensespecification.html#cfn-ec2-instance-licensespecification-licenseconfigurationarn" xr:uid="{E017170A-87FA-4454-8FC7-53BBF7AB009C}"/>
    <hyperlink ref="T70" r:id="rId66" location="cfn-ec2-instance-monitoring" tooltip="http://docs.aws.amazon.com/AWSCloudFormation/latest/UserGuide/aws-properties-ec2-instance.html#cfn-ec2-instance-monitoring" xr:uid="{C6B6ED73-9DB8-455B-BEED-289FCD352055}"/>
    <hyperlink ref="T71" r:id="rId67" location="cfn-ec2-instance-networkinterfaces" tooltip="http://docs.aws.amazon.com/AWSCloudFormation/latest/UserGuide/aws-properties-ec2-instance.html#cfn-ec2-instance-networkinterfaces" xr:uid="{C575409C-73BE-4B35-8D8D-0A30DCA8CE10}"/>
    <hyperlink ref="T72" r:id="rId68" location="aws-properties-ec2-network-iface-embedded-associatepubip" tooltip="http://docs.aws.amazon.com/AWSCloudFormation/latest/UserGuide/aws-properties-ec2-network-iface-embedded.html#aws-properties-ec2-network-iface-embedded-associatepubip" xr:uid="{C40DFBED-A6F5-47E5-9CD9-9DBA42D7C2EC}"/>
    <hyperlink ref="T73" r:id="rId69" location="aws-properties-ec2-network-iface-embedded-delete" tooltip="http://docs.aws.amazon.com/AWSCloudFormation/latest/UserGuide/aws-properties-ec2-network-iface-embedded.html#aws-properties-ec2-network-iface-embedded-delete" xr:uid="{3218EE0F-02AA-47EF-BB61-0BFCDDF59FCA}"/>
    <hyperlink ref="T74" r:id="rId70" location="aws-properties-ec2-network-iface-embedded-description" tooltip="http://docs.aws.amazon.com/AWSCloudFormation/latest/UserGuide/aws-properties-ec2-network-iface-embedded.html#aws-properties-ec2-network-iface-embedded-description" xr:uid="{F16CF513-119C-4D9A-9AD9-5EBDDD5BD45E}"/>
    <hyperlink ref="T75" r:id="rId71" location="aws-properties-ec2-network-iface-embedded-deviceindex" tooltip="http://docs.aws.amazon.com/AWSCloudFormation/latest/UserGuide/aws-properties-ec2-network-iface-embedded.html#aws-properties-ec2-network-iface-embedded-deviceindex" xr:uid="{CFBA669D-BBA8-45EA-99A1-A189665DFD25}"/>
    <hyperlink ref="T76" r:id="rId72" location="aws-properties-ec2-network-iface-embedded-groupset" tooltip="http://docs.aws.amazon.com/AWSCloudFormation/latest/UserGuide/aws-properties-ec2-network-iface-embedded.html#aws-properties-ec2-network-iface-embedded-groupset" xr:uid="{8967E76B-E50A-49F0-8C6F-48E8EF6512C7}"/>
    <hyperlink ref="T79" r:id="rId73" location="cfn-ec2-instance-networkinterface-ipv6addresscount" tooltip="http://docs.aws.amazon.com/AWSCloudFormation/latest/UserGuide/aws-properties-ec2-network-iface-embedded.html#cfn-ec2-instance-networkinterface-ipv6addresscount" xr:uid="{6EE16708-A839-4AC7-9519-F38F843BF4B9}"/>
    <hyperlink ref="T80" r:id="rId74" location="cfn-ec2-instance-networkinterface-ipv6addresses" tooltip="http://docs.aws.amazon.com/AWSCloudFormation/latest/UserGuide/aws-properties-ec2-network-iface-embedded.html#cfn-ec2-instance-networkinterface-ipv6addresses" xr:uid="{7F5AD23F-FDC9-4111-B130-BA9508FB7BF0}"/>
    <hyperlink ref="T81" r:id="rId75" location="cfn-ec2-instance-instanceipv6address-ipv6address" tooltip="http://docs.aws.amazon.com/AWSCloudFormation/latest/UserGuide/aws-properties-ec2-instance-instanceipv6address.html#cfn-ec2-instance-instanceipv6address-ipv6address" xr:uid="{18F94D52-7210-4CF8-B7E4-5B5719926C5C}"/>
    <hyperlink ref="T82" r:id="rId76" location="cfn-ec2-instance-instanceipv6address-ipv6address" tooltip="http://docs.aws.amazon.com/AWSCloudFormation/latest/UserGuide/aws-properties-ec2-instance-instanceipv6address.html#cfn-ec2-instance-instanceipv6address-ipv6address" xr:uid="{40A4154F-1C37-4863-8652-CFA2AA83D781}"/>
    <hyperlink ref="T83" r:id="rId77" location="aws-properties-ec2-network-iface-embedded-network-iface" tooltip="http://docs.aws.amazon.com/AWSCloudFormation/latest/UserGuide/aws-properties-ec2-network-iface-embedded.html#aws-properties-ec2-network-iface-embedded-network-iface" xr:uid="{CF638BF3-82D2-4E60-A1CD-ABF613B7643B}"/>
    <hyperlink ref="T84" r:id="rId78" location="aws-properties-ec2-network-iface-embedded-privateipaddress" tooltip="http://docs.aws.amazon.com/AWSCloudFormation/latest/UserGuide/aws-properties-ec2-network-iface-embedded.html#aws-properties-ec2-network-iface-embedded-privateipaddress" xr:uid="{F3F4206C-32D4-4DB1-8ABC-98462A44154A}"/>
    <hyperlink ref="T85" r:id="rId79" location="aws-properties-ec2-network-iface-embedded-privateipaddresses" tooltip="http://docs.aws.amazon.com/AWSCloudFormation/latest/UserGuide/aws-properties-ec2-network-iface-embedded.html#aws-properties-ec2-network-iface-embedded-privateipaddresses" xr:uid="{3379E27A-9646-4349-85A3-E531639B8616}"/>
    <hyperlink ref="T86" r:id="rId80" location="cfn-ec2-networkinterface-privateipspecification-primary" tooltip="http://docs.aws.amazon.com/AWSCloudFormation/latest/UserGuide/aws-properties-ec2-network-interface-privateipspec.html#cfn-ec2-networkinterface-privateipspecification-primary" xr:uid="{9CB14136-0F36-41AA-B03C-B061EBCE86FD}"/>
    <hyperlink ref="T87" r:id="rId81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191447AD-105A-4A61-A83C-D4D85CAB7051}"/>
    <hyperlink ref="T88" r:id="rId82" location="cfn-ec2-networkinterface-privateipspecification-primary" tooltip="http://docs.aws.amazon.com/AWSCloudFormation/latest/UserGuide/aws-properties-ec2-network-interface-privateipspec.html#cfn-ec2-networkinterface-privateipspecification-primary" xr:uid="{DAA717B7-F230-4455-8896-3A583F28C977}"/>
    <hyperlink ref="T89" r:id="rId83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2945AB0A-DA2C-4389-ACA6-1225ADC3185C}"/>
    <hyperlink ref="T90" r:id="rId84" location="aws-properties-ec2-network-iface-embedded-secondprivateip" tooltip="http://docs.aws.amazon.com/AWSCloudFormation/latest/UserGuide/aws-properties-ec2-network-iface-embedded.html#aws-properties-ec2-network-iface-embedded-secondprivateip" xr:uid="{45A421CA-9030-401E-8455-276834440304}"/>
    <hyperlink ref="T91" r:id="rId85" location="aws-properties-ec2-network-iface-embedded-subnetid" tooltip="http://docs.aws.amazon.com/AWSCloudFormation/latest/UserGuide/aws-properties-ec2-network-iface-embedded.html#aws-properties-ec2-network-iface-embedded-subnetid" xr:uid="{41A926A8-9EEC-424D-AE15-D602722B4AE4}"/>
    <hyperlink ref="T92" r:id="rId86" location="aws-properties-ec2-network-iface-embedded-associatepubip" tooltip="http://docs.aws.amazon.com/AWSCloudFormation/latest/UserGuide/aws-properties-ec2-network-iface-embedded.html#aws-properties-ec2-network-iface-embedded-associatepubip" xr:uid="{1AA56EEA-56E0-4CB7-8BE9-16D16ED56434}"/>
    <hyperlink ref="T93" r:id="rId87" location="aws-properties-ec2-network-iface-embedded-delete" tooltip="http://docs.aws.amazon.com/AWSCloudFormation/latest/UserGuide/aws-properties-ec2-network-iface-embedded.html#aws-properties-ec2-network-iface-embedded-delete" xr:uid="{0498B410-B62F-4358-828B-1DF63DEA4432}"/>
    <hyperlink ref="T94" r:id="rId88" location="aws-properties-ec2-network-iface-embedded-description" tooltip="http://docs.aws.amazon.com/AWSCloudFormation/latest/UserGuide/aws-properties-ec2-network-iface-embedded.html#aws-properties-ec2-network-iface-embedded-description" xr:uid="{B00D0861-936B-4D2C-916A-B9D4EC722E7C}"/>
    <hyperlink ref="T95" r:id="rId89" location="aws-properties-ec2-network-iface-embedded-deviceindex" tooltip="http://docs.aws.amazon.com/AWSCloudFormation/latest/UserGuide/aws-properties-ec2-network-iface-embedded.html#aws-properties-ec2-network-iface-embedded-deviceindex" xr:uid="{7EC2452F-F628-4BB7-B8DF-061767D81CE9}"/>
    <hyperlink ref="T96" r:id="rId90" location="aws-properties-ec2-network-iface-embedded-groupset" tooltip="http://docs.aws.amazon.com/AWSCloudFormation/latest/UserGuide/aws-properties-ec2-network-iface-embedded.html#aws-properties-ec2-network-iface-embedded-groupset" xr:uid="{BC9D1BD1-898F-4F84-BD10-84173F95F7D8}"/>
    <hyperlink ref="T99" r:id="rId91" location="cfn-ec2-instance-networkinterface-ipv6addresscount" tooltip="http://docs.aws.amazon.com/AWSCloudFormation/latest/UserGuide/aws-properties-ec2-network-iface-embedded.html#cfn-ec2-instance-networkinterface-ipv6addresscount" xr:uid="{332BD47E-DAD5-4650-8371-55DEC2D6578B}"/>
    <hyperlink ref="T100" r:id="rId92" location="cfn-ec2-instance-networkinterface-ipv6addresses" tooltip="http://docs.aws.amazon.com/AWSCloudFormation/latest/UserGuide/aws-properties-ec2-network-iface-embedded.html#cfn-ec2-instance-networkinterface-ipv6addresses" xr:uid="{5B05EBDF-4013-48F0-8536-533EE3B22F88}"/>
    <hyperlink ref="T101" r:id="rId93" location="cfn-ec2-instance-instanceipv6address-ipv6address" tooltip="http://docs.aws.amazon.com/AWSCloudFormation/latest/UserGuide/aws-properties-ec2-instance-instanceipv6address.html#cfn-ec2-instance-instanceipv6address-ipv6address" xr:uid="{E84F5377-B5E2-462F-B5D4-9AD23C2504DD}"/>
    <hyperlink ref="T102" r:id="rId94" location="cfn-ec2-instance-instanceipv6address-ipv6address" tooltip="http://docs.aws.amazon.com/AWSCloudFormation/latest/UserGuide/aws-properties-ec2-instance-instanceipv6address.html#cfn-ec2-instance-instanceipv6address-ipv6address" xr:uid="{3E092B70-33DE-407D-9802-913F63DB89D0}"/>
    <hyperlink ref="T103" r:id="rId95" location="aws-properties-ec2-network-iface-embedded-network-iface" tooltip="http://docs.aws.amazon.com/AWSCloudFormation/latest/UserGuide/aws-properties-ec2-network-iface-embedded.html#aws-properties-ec2-network-iface-embedded-network-iface" xr:uid="{A53B9CE7-688E-43B5-8FBB-7256ED56CD45}"/>
    <hyperlink ref="T104" r:id="rId96" location="aws-properties-ec2-network-iface-embedded-privateipaddress" tooltip="http://docs.aws.amazon.com/AWSCloudFormation/latest/UserGuide/aws-properties-ec2-network-iface-embedded.html#aws-properties-ec2-network-iface-embedded-privateipaddress" xr:uid="{F9DEC929-5527-4806-8417-F337C1899177}"/>
    <hyperlink ref="T105" r:id="rId97" location="aws-properties-ec2-network-iface-embedded-privateipaddresses" tooltip="http://docs.aws.amazon.com/AWSCloudFormation/latest/UserGuide/aws-properties-ec2-network-iface-embedded.html#aws-properties-ec2-network-iface-embedded-privateipaddresses" xr:uid="{5512AD36-D598-46FC-8B85-B653BC192FA2}"/>
    <hyperlink ref="T106" r:id="rId98" location="cfn-ec2-networkinterface-privateipspecification-primary" tooltip="http://docs.aws.amazon.com/AWSCloudFormation/latest/UserGuide/aws-properties-ec2-network-interface-privateipspec.html#cfn-ec2-networkinterface-privateipspecification-primary" xr:uid="{A31D6EF2-67DF-4842-904F-2CE1D1430502}"/>
    <hyperlink ref="T107" r:id="rId99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6AA660F7-B38C-420D-A74E-30F9CF3A2E67}"/>
    <hyperlink ref="T108" r:id="rId100" location="cfn-ec2-networkinterface-privateipspecification-primary" tooltip="http://docs.aws.amazon.com/AWSCloudFormation/latest/UserGuide/aws-properties-ec2-network-interface-privateipspec.html#cfn-ec2-networkinterface-privateipspecification-primary" xr:uid="{98C1F1EB-B5DB-4391-A0FA-A68B664C91E2}"/>
    <hyperlink ref="T109" r:id="rId101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0C2D54B5-4DBE-4BA6-ADB5-41667DF63354}"/>
    <hyperlink ref="T110" r:id="rId102" location="aws-properties-ec2-network-iface-embedded-secondprivateip" tooltip="http://docs.aws.amazon.com/AWSCloudFormation/latest/UserGuide/aws-properties-ec2-network-iface-embedded.html#aws-properties-ec2-network-iface-embedded-secondprivateip" xr:uid="{CF3422E2-7D88-4827-BB02-E4239C179955}"/>
    <hyperlink ref="T111" r:id="rId103" location="aws-properties-ec2-network-iface-embedded-subnetid" tooltip="http://docs.aws.amazon.com/AWSCloudFormation/latest/UserGuide/aws-properties-ec2-network-iface-embedded.html#aws-properties-ec2-network-iface-embedded-subnetid" xr:uid="{909CDD65-4BBD-4248-8CCE-A22111652E61}"/>
    <hyperlink ref="T112" r:id="rId104" location="cfn-ec2-instance-placementgroupname" tooltip="http://docs.aws.amazon.com/AWSCloudFormation/latest/UserGuide/aws-properties-ec2-instance.html#cfn-ec2-instance-placementgroupname" xr:uid="{B4657D85-232E-45B4-A50F-CFF0D28388A3}"/>
    <hyperlink ref="T113" r:id="rId105" location="cfn-ec2-instance-privateipaddress" tooltip="http://docs.aws.amazon.com/AWSCloudFormation/latest/UserGuide/aws-properties-ec2-instance.html#cfn-ec2-instance-privateipaddress" xr:uid="{A07E8B01-1677-4A56-A303-1BAB79B75A86}"/>
    <hyperlink ref="T114" r:id="rId106" location="cfn-ec2-instance-ramdiskid" tooltip="http://docs.aws.amazon.com/AWSCloudFormation/latest/UserGuide/aws-properties-ec2-instance.html#cfn-ec2-instance-ramdiskid" xr:uid="{6F6A8E70-510A-4985-B7CA-2037DF4D3D4D}"/>
    <hyperlink ref="T115" r:id="rId107" location="cfn-ec2-instance-securitygroupids" tooltip="http://docs.aws.amazon.com/AWSCloudFormation/latest/UserGuide/aws-properties-ec2-instance.html#cfn-ec2-instance-securitygroupids" xr:uid="{27CEBB62-E12F-4828-B5CA-14C696B1C9D2}"/>
    <hyperlink ref="T118" r:id="rId108" location="cfn-ec2-instance-securitygroups" tooltip="http://docs.aws.amazon.com/AWSCloudFormation/latest/UserGuide/aws-properties-ec2-instance.html#cfn-ec2-instance-securitygroups" xr:uid="{9CA28D7A-8C28-4F6A-BCFE-BBB7CEDF8648}"/>
    <hyperlink ref="T121" r:id="rId109" location="cfn-ec2-instance-sourcedestcheck" tooltip="http://docs.aws.amazon.com/AWSCloudFormation/latest/UserGuide/aws-properties-ec2-instance.html#cfn-ec2-instance-sourcedestcheck" xr:uid="{6C01F3E8-3AF8-4326-AC65-A86ABE9CDD19}"/>
    <hyperlink ref="T122" r:id="rId110" location="cfn-ec2-instance-ssmassociations" tooltip="http://docs.aws.amazon.com/AWSCloudFormation/latest/UserGuide/aws-properties-ec2-instance.html#cfn-ec2-instance-ssmassociations" xr:uid="{AB5E9874-8A25-486A-97A4-429A24B85E19}"/>
    <hyperlink ref="T123" r:id="rId111" location="cfn-ec2-instance-ssmassociations-associationparameters" tooltip="http://docs.aws.amazon.com/AWSCloudFormation/latest/UserGuide/aws-properties-ec2-instance-ssmassociations.html#cfn-ec2-instance-ssmassociations-associationparameters" xr:uid="{99B80874-6836-4562-AF77-48749DD6A8CA}"/>
    <hyperlink ref="T124" r:id="rId112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25F4BB2F-425A-4EEA-AAD3-A00419AB0511}"/>
    <hyperlink ref="T125" r:id="rId113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6BA9AEC1-89F7-4C54-98BC-D61D0B40F6A7}"/>
    <hyperlink ref="T128" r:id="rId114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0CD5966B-6CDC-430D-AB1A-0E48029AA0F3}"/>
    <hyperlink ref="T129" r:id="rId115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6C62EEC4-87CB-429B-B242-70C3ACA7C4FA}"/>
    <hyperlink ref="T132" r:id="rId116" location="cfn-ec2-instance-ssmassociations-documentname" tooltip="http://docs.aws.amazon.com/AWSCloudFormation/latest/UserGuide/aws-properties-ec2-instance-ssmassociations.html#cfn-ec2-instance-ssmassociations-documentname" xr:uid="{A073FC3C-3D6D-4892-B6DA-008941F4AE06}"/>
    <hyperlink ref="T133" r:id="rId117" location="cfn-ec2-instance-ssmassociations-associationparameters" tooltip="http://docs.aws.amazon.com/AWSCloudFormation/latest/UserGuide/aws-properties-ec2-instance-ssmassociations.html#cfn-ec2-instance-ssmassociations-associationparameters" xr:uid="{5E4D85DF-152E-4F53-B481-BAFB8890DAC2}"/>
    <hyperlink ref="T134" r:id="rId118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41BFE284-9F36-4F9B-860C-A1D40688628C}"/>
    <hyperlink ref="T135" r:id="rId119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8A616285-5473-4B1B-8187-67236E75F198}"/>
    <hyperlink ref="T138" r:id="rId120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F3489F4A-6500-402B-8402-D414757CC1C6}"/>
    <hyperlink ref="T139" r:id="rId121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DBC8C48D-8988-47C4-AEB7-BAEE861EF3C3}"/>
    <hyperlink ref="T142" r:id="rId122" location="cfn-ec2-instance-ssmassociations-documentname" tooltip="http://docs.aws.amazon.com/AWSCloudFormation/latest/UserGuide/aws-properties-ec2-instance-ssmassociations.html#cfn-ec2-instance-ssmassociations-documentname" xr:uid="{3D43AB4C-1DA3-4A48-A5C6-C592E527454A}"/>
    <hyperlink ref="T143" r:id="rId123" location="cfn-ec2-instance-subnetid" tooltip="http://docs.aws.amazon.com/AWSCloudFormation/latest/UserGuide/aws-properties-ec2-instance.html#cfn-ec2-instance-subnetid" xr:uid="{73FB08A6-E98D-465B-A68C-BB6656220A05}"/>
    <hyperlink ref="T144" r:id="rId124" location="cfn-ec2-instance-tags" tooltip="http://docs.aws.amazon.com/AWSCloudFormation/latest/UserGuide/aws-properties-ec2-instance.html#cfn-ec2-instance-tags" xr:uid="{AFA268B6-5F52-40FD-A2EB-92096B15884C}"/>
    <hyperlink ref="T145" r:id="rId125" location="cfn-resource-tags-key" tooltip="http://docs.aws.amazon.com/AWSCloudFormation/latest/UserGuide/aws-properties-resource-tags.html#cfn-resource-tags-key" xr:uid="{70B5A61C-8F7C-4ED6-BC07-1211E79AB804}"/>
    <hyperlink ref="T146" r:id="rId126" location="cfn-resource-tags-value" tooltip="http://docs.aws.amazon.com/AWSCloudFormation/latest/UserGuide/aws-properties-resource-tags.html#cfn-resource-tags-value" xr:uid="{FE81478B-96EF-42B6-BC4D-2C4EAA8A7B90}"/>
    <hyperlink ref="T147" r:id="rId127" location="cfn-resource-tags-key" tooltip="http://docs.aws.amazon.com/AWSCloudFormation/latest/UserGuide/aws-properties-resource-tags.html#cfn-resource-tags-key" xr:uid="{A44B4CA4-0DE9-4301-9124-FFE6572F5BB7}"/>
    <hyperlink ref="T148" r:id="rId128" location="cfn-resource-tags-value" tooltip="http://docs.aws.amazon.com/AWSCloudFormation/latest/UserGuide/aws-properties-resource-tags.html#cfn-resource-tags-value" xr:uid="{DC2229E5-923A-454A-966E-CD5BFE8D9761}"/>
    <hyperlink ref="T149" r:id="rId129" location="cfn-ec2-instance-tenancy" tooltip="http://docs.aws.amazon.com/AWSCloudFormation/latest/UserGuide/aws-properties-ec2-instance.html#cfn-ec2-instance-tenancy" xr:uid="{1DA0F97F-FFB3-45C2-BA8B-F1F618914E34}"/>
    <hyperlink ref="T150" r:id="rId130" location="cfn-ec2-instance-userdata" tooltip="http://docs.aws.amazon.com/AWSCloudFormation/latest/UserGuide/aws-properties-ec2-instance.html#cfn-ec2-instance-userdata" xr:uid="{5C7C8398-CB7C-4655-BF41-2CABEE1C9F84}"/>
    <hyperlink ref="T151" r:id="rId131" location="cfn-ec2-instance-volumes" tooltip="http://docs.aws.amazon.com/AWSCloudFormation/latest/UserGuide/aws-properties-ec2-instance.html#cfn-ec2-instance-volumes" xr:uid="{AFB32702-6B4E-46FF-B00A-533CCAD87FE0}"/>
    <hyperlink ref="T152" r:id="rId132" location="cfn-ec2-mountpoint-device" tooltip="http://docs.aws.amazon.com/AWSCloudFormation/latest/UserGuide/aws-properties-ec2-mount-point.html#cfn-ec2-mountpoint-device" xr:uid="{2B644792-6A77-491C-A4A8-9C9914153DD4}"/>
    <hyperlink ref="T153" r:id="rId133" location="cfn-ec2-mountpoint-volumeid" tooltip="http://docs.aws.amazon.com/AWSCloudFormation/latest/UserGuide/aws-properties-ec2-mount-point.html#cfn-ec2-mountpoint-volumeid" xr:uid="{83D2BB12-A1F5-46DF-99C5-DE17F77BD6CB}"/>
    <hyperlink ref="T154" r:id="rId134" location="cfn-ec2-mountpoint-device" tooltip="http://docs.aws.amazon.com/AWSCloudFormation/latest/UserGuide/aws-properties-ec2-mount-point.html#cfn-ec2-mountpoint-device" xr:uid="{DE901DD7-CE7E-4A4D-BBD5-4222031D5B49}"/>
    <hyperlink ref="T155" r:id="rId135" location="cfn-ec2-mountpoint-volumeid" tooltip="http://docs.aws.amazon.com/AWSCloudFormation/latest/UserGuide/aws-properties-ec2-mount-point.html#cfn-ec2-mountpoint-volumeid" xr:uid="{C52FD71A-C8A4-4742-86E3-0004081CB8D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Resources</vt:lpstr>
      <vt:lpstr>Setting</vt:lpstr>
      <vt:lpstr>ExternalValue</vt:lpstr>
      <vt:lpstr>CreatingResource</vt:lpstr>
      <vt:lpstr>VPC</vt:lpstr>
      <vt:lpstr>InternetGateway</vt:lpstr>
      <vt:lpstr>VPCGatewayAttachment</vt:lpstr>
      <vt:lpstr>DHCPOptions</vt:lpstr>
      <vt:lpstr>VPCDHCPOptionsAssociation</vt:lpstr>
      <vt:lpstr>Subnet</vt:lpstr>
      <vt:lpstr>EIP</vt:lpstr>
      <vt:lpstr>NatGateway</vt:lpstr>
      <vt:lpstr>RouteTable</vt:lpstr>
      <vt:lpstr>Route</vt:lpstr>
      <vt:lpstr>SubnetRouteTableAssociation</vt:lpstr>
      <vt:lpstr>NetworkAcl</vt:lpstr>
      <vt:lpstr>NetworkAclEntry</vt:lpstr>
      <vt:lpstr>SubnetNetworkAclAssociation</vt:lpstr>
      <vt:lpstr>PrefixList</vt:lpstr>
      <vt:lpstr>SecurityGroup</vt:lpstr>
      <vt:lpstr>SecurityGroupEgress</vt:lpstr>
      <vt:lpstr>SecurityGroupIngress</vt:lpstr>
      <vt:lpstr>Role</vt:lpstr>
      <vt:lpstr>InstanceProfile</vt:lpstr>
      <vt:lpstr>ManagedPolicy</vt:lpstr>
      <vt:lpstr>VPCEndpoint</vt:lpstr>
      <vt:lpstr>Instance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2020-12-27T13:44:24Z</dcterms:modified>
</cp:coreProperties>
</file>