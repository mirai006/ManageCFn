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00_Data\99_git\ManageCFn\bin\"/>
    </mc:Choice>
  </mc:AlternateContent>
  <xr:revisionPtr revIDLastSave="0" documentId="13_ncr:1_{2D855C8F-FC6B-4A6A-9FD5-B81EFB582BE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7" i="1" l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40" i="1" l="1"/>
  <c r="R138" i="1"/>
  <c r="U109" i="1"/>
  <c r="U107" i="1"/>
  <c r="S93" i="1"/>
  <c r="U89" i="1"/>
  <c r="U87" i="1"/>
  <c r="S73" i="1"/>
  <c r="S48" i="1"/>
  <c r="S46" i="1"/>
</calcChain>
</file>

<file path=xl/sharedStrings.xml><?xml version="1.0" encoding="utf-8"?>
<sst xmlns="http://schemas.openxmlformats.org/spreadsheetml/2006/main" count="212" uniqueCount="151">
  <si>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</si>
  <si>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</si>
  <si>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</si>
  <si>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</si>
  <si>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</si>
  <si>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</si>
  <si>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</si>
  <si>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</si>
  <si>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</si>
  <si>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</si>
  <si>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</si>
  <si>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</si>
  <si>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</si>
  <si>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</si>
  <si>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</si>
  <si>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</si>
  <si>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</si>
  <si>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</si>
  <si>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</si>
  <si>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</si>
  <si>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CoreCount: Integer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</si>
  <si>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</si>
  <si>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</si>
  <si>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</si>
  <si>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</si>
  <si>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</si>
  <si>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</si>
  <si>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</si>
  <si>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</si>
  <si>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</si>
  <si>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</si>
  <si>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</si>
  <si>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</si>
  <si>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</si>
  <si>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</si>
  <si>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</si>
  <si>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</si>
  <si>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</si>
  <si>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</si>
  <si>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</si>
  <si>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</si>
  <si>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</si>
  <si>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</si>
  <si>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</si>
  <si>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</si>
  <si>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</si>
  <si>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</si>
  <si>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</si>
  <si>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</si>
  <si>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</si>
  <si>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</si>
  <si>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</si>
  <si>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</si>
  <si>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</si>
  <si>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</si>
  <si>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</si>
  <si>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</si>
  <si>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</si>
  <si>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</si>
  <si>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</si>
  <si>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</si>
  <si>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</si>
  <si>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</si>
  <si>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</si>
  <si>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</si>
  <si>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</si>
  <si>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</si>
  <si>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</si>
  <si>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</si>
  <si>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</si>
  <si>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</si>
  <si>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</si>
  <si>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</si>
  <si>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</si>
  <si>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</si>
  <si>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</si>
  <si>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</si>
  <si>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</si>
  <si>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</si>
  <si>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</si>
  <si>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</si>
  <si>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</si>
  <si>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</si>
  <si>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</si>
  <si>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</si>
  <si>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</si>
  <si>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</si>
  <si>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</si>
  <si>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</si>
  <si>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CFn Json Path</t>
    <phoneticPr fontId="1"/>
  </si>
  <si>
    <t>Max_Indent</t>
    <phoneticPr fontId="1"/>
  </si>
  <si>
    <t>DeletionPolicy: Delete</t>
    <phoneticPr fontId="1"/>
  </si>
  <si>
    <t>Resources:</t>
    <phoneticPr fontId="1"/>
  </si>
  <si>
    <t>C:\00_Data\11_AWS\CloudFormationResourceSpecification</t>
  </si>
  <si>
    <t xml:space="preserve">AppSyncGraphQLApiSpecification.json  </t>
  </si>
  <si>
    <t xml:space="preserve">CloudWatchInsightRuleSpecification.json                             </t>
  </si>
  <si>
    <t xml:space="preserve">CodeBuildProjectSpecification.json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</si>
  <si>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</si>
  <si>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</si>
  <si>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</si>
  <si>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</si>
  <si>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</si>
  <si>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</si>
  <si>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</si>
  <si>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</si>
  <si>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</si>
  <si>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</si>
  <si>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</si>
  <si>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</si>
  <si>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</si>
  <si>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</si>
  <si>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</si>
  <si>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</si>
  <si>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</si>
  <si>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</si>
  <si>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ResouceType</t>
    <phoneticPr fontId="1"/>
  </si>
  <si>
    <t>ResouceName</t>
    <phoneticPr fontId="1"/>
  </si>
  <si>
    <t xml:space="preserve">EC2VPCSpecification.json </t>
  </si>
  <si>
    <t>EC2InternetGatewaySpecification.json</t>
  </si>
  <si>
    <t xml:space="preserve">EC2VPCGatewayAttachmentSpecification.json </t>
  </si>
  <si>
    <t xml:space="preserve">EC2VPCDHCPOptionsAssociationSpecification.json    </t>
  </si>
  <si>
    <t xml:space="preserve">EC2DHCPOptionsSpecification.json 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</si>
  <si>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</si>
  <si>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</si>
  <si>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</si>
  <si>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</si>
  <si>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</si>
  <si>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</si>
  <si>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</si>
  <si>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</si>
  <si>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</si>
  <si>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</si>
  <si>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</si>
  <si>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</si>
  <si>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</si>
  <si>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</si>
  <si>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</si>
  <si>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</si>
  <si>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AZ1</t>
    <phoneticPr fontId="1"/>
  </si>
  <si>
    <t>AZ2</t>
    <phoneticPr fontId="1"/>
  </si>
  <si>
    <t>AZ3</t>
    <phoneticPr fontId="1"/>
  </si>
  <si>
    <t>mirai</t>
    <phoneticPr fontId="1"/>
  </si>
  <si>
    <t>Function2</t>
    <phoneticPr fontId="1"/>
  </si>
  <si>
    <t>Function3</t>
    <phoneticPr fontId="1"/>
  </si>
  <si>
    <t>String  ex. ap-northeast-1</t>
  </si>
  <si>
    <t>String  ex. ap-northeast-1a</t>
  </si>
  <si>
    <t>String  ex. ap-northeast-1c</t>
  </si>
  <si>
    <t>String  ex. ap-northeast-1d</t>
  </si>
  <si>
    <t xml:space="preserve">DeletionPolicy: </t>
    <phoneticPr fontId="1"/>
  </si>
  <si>
    <t>16.1.0</t>
  </si>
  <si>
    <t>CFn ResourceSpecificationVersion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</si>
</sst>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FFFFFF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3" fillId="7" borderId="0" xfId="0" applyFont="1" applyFill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8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142875</xdr:rowOff>
        </xdr:from>
        <xdr:to>
          <xdr:col>3</xdr:col>
          <xdr:colOff>1028700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E152"/>
  <sheetViews>
    <sheetView tabSelected="1" zoomScaleNormal="100" workbookViewId="0">
      <selection activeCell="B23" sqref="B23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2" spans="2:31">
      <c r="D2" t="s">
        <v>114</v>
      </c>
    </row>
    <row r="3" spans="2:31">
      <c r="D3" t="s">
        <v>113</v>
      </c>
      <c r="O3" t="s">
        <v>90</v>
      </c>
      <c r="AB3" t="s">
        <v>88</v>
      </c>
    </row>
    <row r="4" spans="2:31">
      <c r="D4" t="s">
        <v>112</v>
      </c>
      <c r="N4" s="7" t="s">
        <v>84</v>
      </c>
      <c r="O4" s="7" t="s">
        <v>92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 t="s">
        <v>86</v>
      </c>
      <c r="AC4" s="7" t="s">
        <v>142</v>
      </c>
      <c r="AD4" s="7" t="s">
        <v>143</v>
      </c>
      <c r="AE4" s="7" t="s">
        <v>87</v>
      </c>
    </row>
    <row r="5" spans="2:31">
      <c r="B5" s="7" t="s">
        <v>89</v>
      </c>
      <c r="N5" s="6">
        <f>ROW()-4</f>
        <v>1</v>
      </c>
      <c r="P5" s="1" t="s">
        <v>82</v>
      </c>
      <c r="Q5" s="1"/>
      <c r="R5" s="1"/>
      <c r="S5" s="1"/>
      <c r="T5" s="1"/>
      <c r="U5" s="1"/>
      <c r="V5" s="1"/>
      <c r="W5" s="1"/>
      <c r="X5" s="1"/>
      <c r="Y5" s="1"/>
      <c r="Z5" s="1" t="s">
        <v>83</v>
      </c>
      <c r="AA5" s="1" t="s">
        <v>85</v>
      </c>
      <c r="AB5" s="1"/>
      <c r="AC5" s="1"/>
      <c r="AD5" s="1"/>
      <c r="AE5" s="1"/>
    </row>
    <row r="6" spans="2:31">
      <c r="B6" s="6" t="s">
        <v>93</v>
      </c>
      <c r="D6" t="s">
        <v>111</v>
      </c>
      <c r="N6" s="6">
        <f t="shared" ref="N6:N69" si="0">ROW()-4</f>
        <v>2</v>
      </c>
      <c r="P6" s="1"/>
      <c r="Q6" t="s">
        <v>3</v>
      </c>
    </row>
    <row r="7" spans="2:31">
      <c r="B7" s="10"/>
      <c r="D7" t="s">
        <v>94</v>
      </c>
      <c r="N7" s="6">
        <f t="shared" si="0"/>
        <v>3</v>
      </c>
      <c r="P7" s="1"/>
      <c r="Q7" t="s">
        <v>91</v>
      </c>
    </row>
    <row r="8" spans="2:31">
      <c r="B8" s="7" t="s">
        <v>150</v>
      </c>
      <c r="D8" t="s">
        <v>95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9" t="s">
        <v>149</v>
      </c>
      <c r="N9" s="6">
        <f t="shared" si="0"/>
        <v>5</v>
      </c>
      <c r="P9" s="1"/>
      <c r="Q9" s="2"/>
      <c r="R9" t="s">
        <v>4</v>
      </c>
    </row>
    <row r="10" spans="2:31">
      <c r="D10" t="s">
        <v>100</v>
      </c>
      <c r="N10" s="6">
        <f t="shared" si="0"/>
        <v>6</v>
      </c>
      <c r="P10" s="1"/>
      <c r="Q10" s="2"/>
      <c r="R10" t="s">
        <v>5</v>
      </c>
    </row>
    <row r="11" spans="2:31">
      <c r="B11" s="7" t="s">
        <v>0</v>
      </c>
      <c r="D11" t="s">
        <v>97</v>
      </c>
      <c r="N11" s="6">
        <f t="shared" si="0"/>
        <v>7</v>
      </c>
      <c r="P11" s="1"/>
      <c r="Q11" s="2"/>
      <c r="R11" t="s">
        <v>6</v>
      </c>
    </row>
    <row r="12" spans="2:31">
      <c r="B12" s="9" t="s">
        <v>117</v>
      </c>
      <c r="D12" t="s">
        <v>98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9" t="s">
        <v>118</v>
      </c>
      <c r="D13" t="s">
        <v>99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9" t="s">
        <v>119</v>
      </c>
      <c r="D14" t="s">
        <v>101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9" t="s">
        <v>121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9" t="s">
        <v>120</v>
      </c>
      <c r="D16" t="s">
        <v>103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9" t="s">
        <v>122</v>
      </c>
      <c r="D17" t="s">
        <v>102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9" t="s">
        <v>123</v>
      </c>
      <c r="D18" t="s">
        <v>107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9" t="s">
        <v>124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9" t="s">
        <v>125</v>
      </c>
      <c r="D20" t="s">
        <v>105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9" t="s">
        <v>126</v>
      </c>
      <c r="D21" t="s">
        <v>104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9" t="s">
        <v>127</v>
      </c>
      <c r="D22" t="s">
        <v>106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9" t="s">
        <v>128</v>
      </c>
      <c r="D23" t="s">
        <v>108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9" t="s">
        <v>129</v>
      </c>
      <c r="D24" t="s">
        <v>109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9"/>
      <c r="D25" t="s">
        <v>110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9"/>
      <c r="D26" t="s">
        <v>96</v>
      </c>
      <c r="N26" s="6">
        <f t="shared" si="0"/>
        <v>22</v>
      </c>
      <c r="P26" s="1"/>
      <c r="Q26" s="2"/>
      <c r="U26" t="s">
        <v>10</v>
      </c>
    </row>
    <row r="27" spans="2:21">
      <c r="B27" s="9"/>
      <c r="N27" s="6">
        <f t="shared" si="0"/>
        <v>23</v>
      </c>
      <c r="P27" s="1"/>
      <c r="U27" t="s">
        <v>11</v>
      </c>
    </row>
    <row r="28" spans="2:21">
      <c r="B28" s="9"/>
      <c r="N28" s="6">
        <f t="shared" si="0"/>
        <v>24</v>
      </c>
      <c r="U28" t="s">
        <v>12</v>
      </c>
    </row>
    <row r="29" spans="2:21">
      <c r="B29" s="9"/>
      <c r="N29" s="6">
        <f t="shared" si="0"/>
        <v>25</v>
      </c>
      <c r="U29" t="s">
        <v>13</v>
      </c>
    </row>
    <row r="30" spans="2:21">
      <c r="B30" s="9"/>
      <c r="N30" s="6">
        <f t="shared" si="0"/>
        <v>26</v>
      </c>
      <c r="U30" t="s">
        <v>14</v>
      </c>
    </row>
    <row r="31" spans="2:21">
      <c r="B31" s="9"/>
      <c r="N31" s="6">
        <f t="shared" si="0"/>
        <v>27</v>
      </c>
      <c r="U31" t="s">
        <v>15</v>
      </c>
    </row>
    <row r="32" spans="2:21">
      <c r="B32" s="9"/>
      <c r="N32" s="6">
        <f t="shared" si="0"/>
        <v>28</v>
      </c>
      <c r="U32" t="s">
        <v>16</v>
      </c>
    </row>
    <row r="33" spans="2:21">
      <c r="B33" s="9"/>
      <c r="N33" s="6">
        <f t="shared" si="0"/>
        <v>29</v>
      </c>
      <c r="U33" t="s">
        <v>17</v>
      </c>
    </row>
    <row r="34" spans="2:21">
      <c r="B34" s="9"/>
      <c r="N34" s="6">
        <f t="shared" si="0"/>
        <v>30</v>
      </c>
      <c r="T34" t="s">
        <v>18</v>
      </c>
    </row>
    <row r="35" spans="2:21">
      <c r="N35" s="6">
        <f t="shared" si="0"/>
        <v>31</v>
      </c>
      <c r="R35" t="s">
        <v>19</v>
      </c>
    </row>
    <row r="36" spans="2:21">
      <c r="N36" s="6">
        <f t="shared" si="0"/>
        <v>32</v>
      </c>
      <c r="S36" t="s">
        <v>20</v>
      </c>
    </row>
    <row r="37" spans="2:21">
      <c r="N37" s="6">
        <f t="shared" si="0"/>
        <v>33</v>
      </c>
      <c r="S37" t="s">
        <v>21</v>
      </c>
    </row>
    <row r="38" spans="2:21">
      <c r="N38" s="6">
        <f t="shared" si="0"/>
        <v>34</v>
      </c>
      <c r="R38" t="s">
        <v>22</v>
      </c>
    </row>
    <row r="39" spans="2:21">
      <c r="N39" s="6">
        <f t="shared" si="0"/>
        <v>35</v>
      </c>
      <c r="S39" t="s">
        <v>23</v>
      </c>
    </row>
    <row r="40" spans="2:21">
      <c r="N40" s="6">
        <f t="shared" si="0"/>
        <v>36</v>
      </c>
      <c r="R40" t="s">
        <v>24</v>
      </c>
    </row>
    <row r="41" spans="2:21">
      <c r="N41" s="6">
        <f t="shared" si="0"/>
        <v>37</v>
      </c>
      <c r="R41" t="s">
        <v>25</v>
      </c>
    </row>
    <row r="42" spans="2:21">
      <c r="N42" s="6">
        <f t="shared" si="0"/>
        <v>38</v>
      </c>
      <c r="R42" t="s">
        <v>26</v>
      </c>
    </row>
    <row r="43" spans="2:21">
      <c r="N43" s="6">
        <f t="shared" si="0"/>
        <v>39</v>
      </c>
      <c r="S43" t="s">
        <v>27</v>
      </c>
    </row>
    <row r="44" spans="2:21">
      <c r="N44" s="6">
        <f t="shared" si="0"/>
        <v>40</v>
      </c>
      <c r="S44" t="s">
        <v>27</v>
      </c>
    </row>
    <row r="45" spans="2:21">
      <c r="N45" s="6">
        <f t="shared" si="0"/>
        <v>41</v>
      </c>
      <c r="R45" t="s">
        <v>28</v>
      </c>
    </row>
    <row r="46" spans="2:21">
      <c r="N46" s="6">
        <f t="shared" si="0"/>
        <v>42</v>
      </c>
      <c r="S46" t="e">
        <f>- Count: Integer</f>
        <v>#NAME?</v>
      </c>
    </row>
    <row r="47" spans="2:21">
      <c r="N47" s="6">
        <f t="shared" si="0"/>
        <v>43</v>
      </c>
      <c r="T47" t="s">
        <v>29</v>
      </c>
    </row>
    <row r="48" spans="2:21">
      <c r="N48" s="6">
        <f t="shared" si="0"/>
        <v>44</v>
      </c>
      <c r="S48" t="e">
        <f>- Count: Integer</f>
        <v>#NAME?</v>
      </c>
    </row>
    <row r="49" spans="14:20">
      <c r="N49" s="6">
        <f t="shared" si="0"/>
        <v>45</v>
      </c>
      <c r="T49" t="s">
        <v>29</v>
      </c>
    </row>
    <row r="50" spans="14:20">
      <c r="N50" s="6">
        <f t="shared" si="0"/>
        <v>46</v>
      </c>
      <c r="R50" t="s">
        <v>30</v>
      </c>
    </row>
    <row r="51" spans="14:20">
      <c r="N51" s="6">
        <f t="shared" si="0"/>
        <v>47</v>
      </c>
      <c r="S51" t="s">
        <v>31</v>
      </c>
    </row>
    <row r="52" spans="14:20">
      <c r="N52" s="6">
        <f t="shared" si="0"/>
        <v>48</v>
      </c>
      <c r="R52" t="s">
        <v>32</v>
      </c>
    </row>
    <row r="53" spans="14:20">
      <c r="N53" s="6">
        <f t="shared" si="0"/>
        <v>49</v>
      </c>
      <c r="R53" t="s">
        <v>33</v>
      </c>
    </row>
    <row r="54" spans="14:20">
      <c r="N54" s="6">
        <f t="shared" si="0"/>
        <v>50</v>
      </c>
      <c r="R54" t="s">
        <v>34</v>
      </c>
    </row>
    <row r="55" spans="14:20">
      <c r="N55" s="6">
        <f t="shared" si="0"/>
        <v>51</v>
      </c>
      <c r="R55" t="s">
        <v>35</v>
      </c>
    </row>
    <row r="56" spans="14:20">
      <c r="N56" s="6">
        <f t="shared" si="0"/>
        <v>52</v>
      </c>
      <c r="R56" t="s">
        <v>36</v>
      </c>
    </row>
    <row r="57" spans="14:20">
      <c r="N57" s="6">
        <f t="shared" si="0"/>
        <v>53</v>
      </c>
      <c r="R57" t="s">
        <v>37</v>
      </c>
    </row>
    <row r="58" spans="14:20">
      <c r="N58" s="6">
        <f t="shared" si="0"/>
        <v>54</v>
      </c>
      <c r="R58" t="s">
        <v>38</v>
      </c>
    </row>
    <row r="59" spans="14:20">
      <c r="N59" s="6">
        <f t="shared" si="0"/>
        <v>55</v>
      </c>
      <c r="R59" t="s">
        <v>39</v>
      </c>
    </row>
    <row r="60" spans="14:20">
      <c r="N60" s="6">
        <f t="shared" si="0"/>
        <v>56</v>
      </c>
      <c r="S60" t="s">
        <v>40</v>
      </c>
    </row>
    <row r="61" spans="14:20">
      <c r="N61" s="6">
        <f t="shared" si="0"/>
        <v>57</v>
      </c>
      <c r="S61" t="s">
        <v>40</v>
      </c>
    </row>
    <row r="62" spans="14:20">
      <c r="N62" s="6">
        <f t="shared" si="0"/>
        <v>58</v>
      </c>
      <c r="R62" t="s">
        <v>41</v>
      </c>
    </row>
    <row r="63" spans="14:20">
      <c r="N63" s="6">
        <f t="shared" si="0"/>
        <v>59</v>
      </c>
      <c r="R63" t="s">
        <v>42</v>
      </c>
    </row>
    <row r="64" spans="14:20">
      <c r="N64" s="6">
        <f t="shared" si="0"/>
        <v>60</v>
      </c>
      <c r="R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S67" t="s">
        <v>46</v>
      </c>
    </row>
    <row r="68" spans="14:21">
      <c r="N68" s="6">
        <f t="shared" si="0"/>
        <v>64</v>
      </c>
      <c r="R68" t="s">
        <v>47</v>
      </c>
    </row>
    <row r="69" spans="14:21">
      <c r="N69" s="6">
        <f t="shared" si="0"/>
        <v>65</v>
      </c>
      <c r="S69" t="s">
        <v>48</v>
      </c>
    </row>
    <row r="70" spans="14:21">
      <c r="N70" s="6">
        <f t="shared" ref="N70:N78" si="1">ROW()-4</f>
        <v>66</v>
      </c>
      <c r="S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R72" t="s">
        <v>50</v>
      </c>
    </row>
    <row r="73" spans="14:21">
      <c r="N73" s="6">
        <f t="shared" si="1"/>
        <v>69</v>
      </c>
      <c r="S73" t="e">
        <f>- DeleteOnTermination: Boolean</f>
        <v>#NAME?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T77" t="s">
        <v>54</v>
      </c>
    </row>
    <row r="78" spans="14:21">
      <c r="N78" s="6">
        <f t="shared" si="1"/>
        <v>74</v>
      </c>
      <c r="U78" t="s">
        <v>55</v>
      </c>
    </row>
    <row r="79" spans="14:21">
      <c r="U79" t="s">
        <v>55</v>
      </c>
    </row>
    <row r="80" spans="14:21">
      <c r="T80" t="s">
        <v>38</v>
      </c>
    </row>
    <row r="81" spans="19:22">
      <c r="T81" t="s">
        <v>39</v>
      </c>
    </row>
    <row r="82" spans="19:22">
      <c r="U82" t="s">
        <v>56</v>
      </c>
      <c r="V82" t="s">
        <v>57</v>
      </c>
    </row>
    <row r="83" spans="19:22">
      <c r="U83" t="s">
        <v>56</v>
      </c>
      <c r="V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T86" t="s">
        <v>60</v>
      </c>
    </row>
    <row r="87" spans="19:22">
      <c r="U87" t="e">
        <f>- Primary: Boolean</f>
        <v>#NAME?</v>
      </c>
    </row>
    <row r="88" spans="19:22">
      <c r="V88" t="s">
        <v>59</v>
      </c>
    </row>
    <row r="89" spans="19:22">
      <c r="U89" t="e">
        <f>- Primary: Boolean</f>
        <v>#NAME?</v>
      </c>
    </row>
    <row r="90" spans="19:22">
      <c r="V90" t="s">
        <v>59</v>
      </c>
    </row>
    <row r="91" spans="19:22">
      <c r="T91" t="s">
        <v>61</v>
      </c>
    </row>
    <row r="92" spans="19:22">
      <c r="T92" t="s">
        <v>62</v>
      </c>
    </row>
    <row r="93" spans="19:22">
      <c r="S93" t="e">
        <f>- DeleteOnTermination: Boolean</f>
        <v>#NAME?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20:22">
      <c r="T97" t="s">
        <v>54</v>
      </c>
    </row>
    <row r="98" spans="20:22">
      <c r="U98" t="s">
        <v>55</v>
      </c>
    </row>
    <row r="99" spans="20:22">
      <c r="U99" t="s">
        <v>55</v>
      </c>
    </row>
    <row r="100" spans="20:22">
      <c r="T100" t="s">
        <v>38</v>
      </c>
    </row>
    <row r="101" spans="20:22">
      <c r="T101" t="s">
        <v>39</v>
      </c>
    </row>
    <row r="102" spans="20:22">
      <c r="U102" t="s">
        <v>56</v>
      </c>
      <c r="V102" t="s">
        <v>57</v>
      </c>
    </row>
    <row r="103" spans="20:22">
      <c r="U103" t="s">
        <v>56</v>
      </c>
      <c r="V103" t="s">
        <v>57</v>
      </c>
    </row>
    <row r="104" spans="20:22">
      <c r="T104" t="s">
        <v>58</v>
      </c>
    </row>
    <row r="105" spans="20:22">
      <c r="T105" t="s">
        <v>59</v>
      </c>
    </row>
    <row r="106" spans="20:22">
      <c r="T106" t="s">
        <v>60</v>
      </c>
    </row>
    <row r="107" spans="20:22">
      <c r="U107" t="e">
        <f>- Primary: Boolean</f>
        <v>#NAME?</v>
      </c>
    </row>
    <row r="108" spans="20:22">
      <c r="V108" t="s">
        <v>59</v>
      </c>
    </row>
    <row r="109" spans="20:22">
      <c r="U109" t="e">
        <f>- Primary: Boolean</f>
        <v>#NAME?</v>
      </c>
    </row>
    <row r="110" spans="20:22">
      <c r="V110" t="s">
        <v>59</v>
      </c>
    </row>
    <row r="111" spans="20:22">
      <c r="T111" t="s">
        <v>61</v>
      </c>
    </row>
    <row r="112" spans="20:22">
      <c r="T112" t="s">
        <v>62</v>
      </c>
    </row>
    <row r="113" spans="18:21">
      <c r="R113" t="s">
        <v>63</v>
      </c>
    </row>
    <row r="114" spans="18:21">
      <c r="R114" t="s">
        <v>59</v>
      </c>
    </row>
    <row r="115" spans="18:21">
      <c r="R115" t="s">
        <v>64</v>
      </c>
    </row>
    <row r="116" spans="18:21">
      <c r="R116" t="s">
        <v>65</v>
      </c>
    </row>
    <row r="117" spans="18:21">
      <c r="S117" t="s">
        <v>55</v>
      </c>
    </row>
    <row r="118" spans="18:21">
      <c r="S118" t="s">
        <v>55</v>
      </c>
    </row>
    <row r="119" spans="18:21">
      <c r="R119" t="s">
        <v>66</v>
      </c>
    </row>
    <row r="120" spans="18:21">
      <c r="S120" t="s">
        <v>55</v>
      </c>
    </row>
    <row r="121" spans="18:21">
      <c r="S121" t="s">
        <v>55</v>
      </c>
    </row>
    <row r="122" spans="18:21">
      <c r="R122" t="s">
        <v>67</v>
      </c>
    </row>
    <row r="123" spans="18:21">
      <c r="R123" t="s">
        <v>68</v>
      </c>
    </row>
    <row r="124" spans="18:21">
      <c r="S124" t="s">
        <v>69</v>
      </c>
    </row>
    <row r="125" spans="18:21">
      <c r="T125" t="s">
        <v>70</v>
      </c>
    </row>
    <row r="126" spans="18:21">
      <c r="T126" t="s">
        <v>71</v>
      </c>
    </row>
    <row r="127" spans="18:21">
      <c r="U127" t="s">
        <v>55</v>
      </c>
    </row>
    <row r="128" spans="18:21">
      <c r="U128" t="s">
        <v>55</v>
      </c>
    </row>
    <row r="129" spans="18:21">
      <c r="T129" t="s">
        <v>72</v>
      </c>
    </row>
    <row r="130" spans="18:21">
      <c r="S130" t="s">
        <v>69</v>
      </c>
    </row>
    <row r="131" spans="18:21">
      <c r="T131" t="s">
        <v>70</v>
      </c>
    </row>
    <row r="132" spans="18:21">
      <c r="T132" t="s">
        <v>71</v>
      </c>
    </row>
    <row r="133" spans="18:21">
      <c r="U133" t="s">
        <v>55</v>
      </c>
    </row>
    <row r="134" spans="18:21">
      <c r="U134" t="s">
        <v>55</v>
      </c>
    </row>
    <row r="135" spans="18:21">
      <c r="T135" t="s">
        <v>72</v>
      </c>
    </row>
    <row r="136" spans="18:21">
      <c r="R136" t="s">
        <v>62</v>
      </c>
    </row>
    <row r="137" spans="18:21">
      <c r="R137" t="s">
        <v>2</v>
      </c>
    </row>
    <row r="138" spans="18:21">
      <c r="R138" t="e">
        <f>- Key: Name</f>
        <v>#NAME?</v>
      </c>
    </row>
    <row r="139" spans="18:21">
      <c r="S139" t="s">
        <v>73</v>
      </c>
    </row>
    <row r="140" spans="18:21">
      <c r="R140" t="e">
        <f>- Key: CloudFormation File</f>
        <v>#NAME?</v>
      </c>
    </row>
    <row r="141" spans="18:21">
      <c r="S141" t="s">
        <v>74</v>
      </c>
    </row>
    <row r="142" spans="18:21">
      <c r="R142" t="s">
        <v>75</v>
      </c>
    </row>
    <row r="143" spans="18:21">
      <c r="S143" t="s">
        <v>76</v>
      </c>
    </row>
    <row r="144" spans="18:21">
      <c r="R144" t="s">
        <v>75</v>
      </c>
    </row>
    <row r="145" spans="18:20">
      <c r="S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R149" t="s">
        <v>80</v>
      </c>
    </row>
    <row r="150" spans="18:20">
      <c r="T150" t="s">
        <v>81</v>
      </c>
    </row>
    <row r="151" spans="18:20">
      <c r="R151" t="s">
        <v>80</v>
      </c>
    </row>
    <row r="152" spans="18:20">
      <c r="T152" t="s">
        <v>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16"/>
  <sheetViews>
    <sheetView workbookViewId="0"/>
  </sheetViews>
  <sheetFormatPr defaultRowHeight="18.75"/>
  <cols>
    <col min="1" max="2" width="4.75" style="8" customWidth="1"/>
    <col min="3" max="3" width="19.75" style="8" customWidth="1"/>
    <col min="4" max="4" width="19.875" style="8" customWidth="1"/>
    <col min="5" max="5" width="102.125" style="8" customWidth="1"/>
    <col min="6" max="16384" width="9" style="8"/>
  </cols>
  <sheetData>
    <row r="2" spans="3:5" hidden="1"/>
    <row r="3" spans="3:5" hidden="1"/>
    <row r="4" spans="3:5" hidden="1"/>
    <row r="5" spans="3:5" hidden="1"/>
    <row r="8" spans="3:5">
      <c r="C8" s="7" t="s">
        <v>130</v>
      </c>
      <c r="D8" s="7" t="s">
        <v>131</v>
      </c>
      <c r="E8" s="7" t="s">
        <v>132</v>
      </c>
    </row>
    <row r="9" spans="3:5" ht="93.75">
      <c r="C9" s="11" t="s">
        <v>148</v>
      </c>
      <c r="D9" s="12" t="s">
        <v>133</v>
      </c>
      <c r="E9" s="13" t="s">
        <v>134</v>
      </c>
    </row>
    <row r="10" spans="3:5">
      <c r="C10" s="9" t="s">
        <v>135</v>
      </c>
      <c r="D10" s="9" t="s">
        <v>141</v>
      </c>
      <c r="E10" s="9" t="s">
        <v>136</v>
      </c>
    </row>
    <row r="11" spans="3:5">
      <c r="C11" s="9" t="s">
        <v>137</v>
      </c>
      <c r="D11" s="9"/>
      <c r="E11" s="9" t="s">
        <v>144</v>
      </c>
    </row>
    <row r="12" spans="3:5">
      <c r="C12" s="9" t="s">
        <v>138</v>
      </c>
      <c r="D12" s="9"/>
      <c r="E12" s="9" t="s">
        <v>145</v>
      </c>
    </row>
    <row r="13" spans="3:5">
      <c r="C13" s="9" t="s">
        <v>139</v>
      </c>
      <c r="D13" s="9"/>
      <c r="E13" s="9" t="s">
        <v>146</v>
      </c>
    </row>
    <row r="14" spans="3:5">
      <c r="C14" s="9" t="s">
        <v>140</v>
      </c>
      <c r="D14" s="9"/>
      <c r="E14" s="9" t="s">
        <v>147</v>
      </c>
    </row>
    <row r="15" spans="3:5">
      <c r="C15" s="9"/>
      <c r="D15" s="9"/>
      <c r="E15" s="9"/>
    </row>
    <row r="16" spans="3:5">
      <c r="C16" s="9"/>
      <c r="D16" s="9"/>
      <c r="E16" s="9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3</xdr:col>
                    <xdr:colOff>1028700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7" t="s">
        <v>115</v>
      </c>
      <c r="C2" s="7" t="s">
        <v>116</v>
      </c>
    </row>
    <row r="3" spans="2:3">
      <c r="B3" s="6"/>
      <c r="C3" s="6"/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>
      <selection activeCell="C17" sqref="C17"/>
    </sheetView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7" t="s">
        <v>115</v>
      </c>
      <c r="C2" s="7" t="s">
        <v>116</v>
      </c>
    </row>
    <row r="3" spans="2:3">
      <c r="B3" s="6"/>
      <c r="C3" s="6"/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Resources</vt:lpstr>
      <vt:lpstr>Setting</vt:lpstr>
      <vt:lpstr>ExternalValue</vt:lpstr>
      <vt:lpstr>CreatingResource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2020-07-26T08:39:26Z</dcterms:modified>
</cp:coreProperties>
</file>